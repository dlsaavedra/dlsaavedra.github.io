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Lab_EYP1707/Base_Datos_Actividades/Lab12/"/>
    </mc:Choice>
  </mc:AlternateContent>
  <xr:revisionPtr revIDLastSave="137" documentId="11_941BA532DC4509CD247D88F314DF1EF7671E543E" xr6:coauthVersionLast="47" xr6:coauthVersionMax="47" xr10:uidLastSave="{9D5AA3B8-2DB2-AE46-A586-46109F70B5AE}"/>
  <bookViews>
    <workbookView xWindow="0" yWindow="0" windowWidth="38400" windowHeight="21600" tabRatio="500" xr2:uid="{00000000-000D-0000-FFFF-FFFF00000000}"/>
  </bookViews>
  <sheets>
    <sheet name="Datos" sheetId="1" r:id="rId1"/>
  </sheets>
  <definedNames>
    <definedName name="_xlnm._FilterDatabase" localSheetId="0" hidden="1">Datos!$A$1:$H$301</definedName>
  </definedNames>
  <calcPr calcId="191029" iterateDelta="1E-4"/>
  <pivotCaches>
    <pivotCache cacheId="5" r:id="rId2"/>
    <pivotCache cacheId="3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1" l="1"/>
  <c r="N16" i="1"/>
  <c r="N17" i="1"/>
  <c r="N30" i="1"/>
  <c r="N31" i="1"/>
  <c r="N44" i="1"/>
  <c r="N45" i="1"/>
  <c r="N58" i="1"/>
  <c r="N59" i="1"/>
  <c r="N72" i="1"/>
  <c r="N73" i="1"/>
  <c r="N86" i="1"/>
  <c r="N87" i="1"/>
  <c r="N100" i="1"/>
  <c r="N101" i="1"/>
  <c r="N114" i="1"/>
  <c r="N115" i="1"/>
  <c r="N128" i="1"/>
  <c r="N129" i="1"/>
  <c r="N142" i="1"/>
  <c r="N143" i="1"/>
  <c r="N156" i="1"/>
  <c r="N157" i="1"/>
  <c r="N170" i="1"/>
  <c r="N171" i="1"/>
  <c r="N184" i="1"/>
  <c r="N185" i="1"/>
  <c r="N198" i="1"/>
  <c r="N199" i="1"/>
  <c r="N212" i="1"/>
  <c r="N213" i="1"/>
  <c r="N226" i="1"/>
  <c r="N227" i="1"/>
  <c r="N240" i="1"/>
  <c r="N241" i="1"/>
  <c r="N254" i="1"/>
  <c r="N255" i="1"/>
  <c r="N268" i="1"/>
  <c r="N269" i="1"/>
  <c r="N282" i="1"/>
  <c r="N283" i="1"/>
  <c r="N296" i="1"/>
  <c r="N297" i="1"/>
  <c r="N2" i="1"/>
  <c r="L6" i="1" a="1"/>
  <c r="L6" i="1" s="1"/>
  <c r="L7" i="1" a="1"/>
  <c r="L7" i="1" s="1"/>
  <c r="L18" i="1" a="1"/>
  <c r="L18" i="1" s="1"/>
  <c r="L19" i="1" a="1"/>
  <c r="L19" i="1" s="1"/>
  <c r="L24" i="1" a="1"/>
  <c r="L24" i="1" s="1"/>
  <c r="L25" i="1" a="1"/>
  <c r="L25" i="1" s="1"/>
  <c r="L30" i="1" a="1"/>
  <c r="L30" i="1" s="1"/>
  <c r="L31" i="1" a="1"/>
  <c r="L31" i="1" s="1"/>
  <c r="L42" i="1" a="1"/>
  <c r="L42" i="1" s="1"/>
  <c r="L43" i="1" a="1"/>
  <c r="L43" i="1" s="1"/>
  <c r="L48" i="1" a="1"/>
  <c r="L48" i="1" s="1"/>
  <c r="L49" i="1" a="1"/>
  <c r="L49" i="1" s="1"/>
  <c r="L54" i="1" a="1"/>
  <c r="L54" i="1" s="1"/>
  <c r="L55" i="1" a="1"/>
  <c r="L55" i="1" s="1"/>
  <c r="L65" i="1" a="1"/>
  <c r="L65" i="1" s="1"/>
  <c r="L66" i="1" a="1"/>
  <c r="L66" i="1" s="1"/>
  <c r="L67" i="1" a="1"/>
  <c r="L67" i="1" s="1"/>
  <c r="L72" i="1" a="1"/>
  <c r="L72" i="1" s="1"/>
  <c r="L73" i="1" a="1"/>
  <c r="L73" i="1"/>
  <c r="L78" i="1" a="1"/>
  <c r="L78" i="1" s="1"/>
  <c r="L79" i="1" a="1"/>
  <c r="L79" i="1" s="1"/>
  <c r="L81" i="1" a="1"/>
  <c r="L81" i="1" s="1"/>
  <c r="L89" i="1" a="1"/>
  <c r="L89" i="1" s="1"/>
  <c r="L90" i="1" a="1"/>
  <c r="L90" i="1" s="1"/>
  <c r="L91" i="1" a="1"/>
  <c r="L91" i="1" s="1"/>
  <c r="L96" i="1" a="1"/>
  <c r="L96" i="1" s="1"/>
  <c r="L97" i="1" a="1"/>
  <c r="L97" i="1"/>
  <c r="L102" i="1" a="1"/>
  <c r="L102" i="1" s="1"/>
  <c r="L103" i="1" a="1"/>
  <c r="L103" i="1" s="1"/>
  <c r="L105" i="1" a="1"/>
  <c r="L105" i="1" s="1"/>
  <c r="L113" i="1" a="1"/>
  <c r="L113" i="1" s="1"/>
  <c r="L114" i="1" a="1"/>
  <c r="L114" i="1" s="1"/>
  <c r="L115" i="1" a="1"/>
  <c r="L115" i="1" s="1"/>
  <c r="L120" i="1" a="1"/>
  <c r="L120" i="1" s="1"/>
  <c r="L121" i="1" a="1"/>
  <c r="L121" i="1"/>
  <c r="L126" i="1" a="1"/>
  <c r="L126" i="1" s="1"/>
  <c r="L127" i="1" a="1"/>
  <c r="L127" i="1" s="1"/>
  <c r="L129" i="1" a="1"/>
  <c r="L129" i="1" s="1"/>
  <c r="L137" i="1" a="1"/>
  <c r="L137" i="1" s="1"/>
  <c r="L138" i="1" a="1"/>
  <c r="L138" i="1" s="1"/>
  <c r="L139" i="1" a="1"/>
  <c r="L139" i="1" s="1"/>
  <c r="L144" i="1" a="1"/>
  <c r="L144" i="1" s="1"/>
  <c r="L145" i="1" a="1"/>
  <c r="L145" i="1"/>
  <c r="L150" i="1" a="1"/>
  <c r="L150" i="1" s="1"/>
  <c r="L151" i="1" a="1"/>
  <c r="L151" i="1" s="1"/>
  <c r="L153" i="1" a="1"/>
  <c r="L153" i="1" s="1"/>
  <c r="L161" i="1" a="1"/>
  <c r="L161" i="1" s="1"/>
  <c r="L162" i="1" a="1"/>
  <c r="L162" i="1" s="1"/>
  <c r="L163" i="1" a="1"/>
  <c r="L163" i="1" s="1"/>
  <c r="L168" i="1" a="1"/>
  <c r="L168" i="1" s="1"/>
  <c r="L169" i="1" a="1"/>
  <c r="L169" i="1"/>
  <c r="L174" i="1" a="1"/>
  <c r="L174" i="1" s="1"/>
  <c r="L175" i="1" a="1"/>
  <c r="L175" i="1" s="1"/>
  <c r="L177" i="1" a="1"/>
  <c r="L177" i="1" s="1"/>
  <c r="L185" i="1" a="1"/>
  <c r="L185" i="1" s="1"/>
  <c r="L186" i="1" a="1"/>
  <c r="L186" i="1" s="1"/>
  <c r="L187" i="1" a="1"/>
  <c r="L187" i="1" s="1"/>
  <c r="L192" i="1" a="1"/>
  <c r="L192" i="1" s="1"/>
  <c r="L193" i="1" a="1"/>
  <c r="L193" i="1"/>
  <c r="L198" i="1" a="1"/>
  <c r="L198" i="1" s="1"/>
  <c r="L199" i="1" a="1"/>
  <c r="L199" i="1" s="1"/>
  <c r="L201" i="1" a="1"/>
  <c r="L201" i="1" s="1"/>
  <c r="L209" i="1" a="1"/>
  <c r="L209" i="1" s="1"/>
  <c r="L210" i="1" a="1"/>
  <c r="L210" i="1" s="1"/>
  <c r="L211" i="1" a="1"/>
  <c r="L211" i="1" s="1"/>
  <c r="L216" i="1" a="1"/>
  <c r="L216" i="1" s="1"/>
  <c r="L217" i="1" a="1"/>
  <c r="L217" i="1"/>
  <c r="L218" i="1" a="1"/>
  <c r="L218" i="1" s="1"/>
  <c r="L222" i="1" a="1"/>
  <c r="L222" i="1" s="1"/>
  <c r="L223" i="1" a="1"/>
  <c r="L223" i="1" s="1"/>
  <c r="L225" i="1" a="1"/>
  <c r="L225" i="1" s="1"/>
  <c r="L233" i="1" a="1"/>
  <c r="L233" i="1" s="1"/>
  <c r="L234" i="1" a="1"/>
  <c r="L234" i="1" s="1"/>
  <c r="L235" i="1" a="1"/>
  <c r="L235" i="1" s="1"/>
  <c r="L240" i="1" a="1"/>
  <c r="L240" i="1" s="1"/>
  <c r="L241" i="1" a="1"/>
  <c r="L241" i="1"/>
  <c r="L242" i="1" a="1"/>
  <c r="L242" i="1" s="1"/>
  <c r="L246" i="1" a="1"/>
  <c r="L246" i="1" s="1"/>
  <c r="L247" i="1" a="1"/>
  <c r="L247" i="1" s="1"/>
  <c r="L249" i="1" a="1"/>
  <c r="L249" i="1" s="1"/>
  <c r="L258" i="1" a="1"/>
  <c r="L258" i="1" s="1"/>
  <c r="L259" i="1" a="1"/>
  <c r="L259" i="1" s="1"/>
  <c r="L264" i="1" a="1"/>
  <c r="L264" i="1" s="1"/>
  <c r="L265" i="1" a="1"/>
  <c r="L265" i="1"/>
  <c r="L266" i="1" a="1"/>
  <c r="L266" i="1" s="1"/>
  <c r="L271" i="1" a="1"/>
  <c r="L271" i="1" s="1"/>
  <c r="L273" i="1" a="1"/>
  <c r="L273" i="1" s="1"/>
  <c r="L274" i="1" a="1"/>
  <c r="L274" i="1" s="1"/>
  <c r="L282" i="1" a="1"/>
  <c r="L282" i="1" s="1"/>
  <c r="L283" i="1" a="1"/>
  <c r="L283" i="1" s="1"/>
  <c r="L288" i="1" a="1"/>
  <c r="L288" i="1" s="1"/>
  <c r="L289" i="1" a="1"/>
  <c r="L289" i="1"/>
  <c r="L290" i="1" a="1"/>
  <c r="L290" i="1" s="1"/>
  <c r="L295" i="1" a="1"/>
  <c r="L295" i="1" s="1"/>
  <c r="L297" i="1" a="1"/>
  <c r="L297" i="1" s="1"/>
  <c r="L298" i="1" a="1"/>
  <c r="L298" i="1" s="1"/>
  <c r="M3" i="1"/>
  <c r="M6" i="1"/>
  <c r="M7" i="1"/>
  <c r="M8" i="1"/>
  <c r="M9" i="1"/>
  <c r="M15" i="1"/>
  <c r="M18" i="1"/>
  <c r="M19" i="1"/>
  <c r="M20" i="1"/>
  <c r="M21" i="1"/>
  <c r="M27" i="1"/>
  <c r="M30" i="1"/>
  <c r="M31" i="1"/>
  <c r="M32" i="1"/>
  <c r="M33" i="1"/>
  <c r="M39" i="1"/>
  <c r="M42" i="1"/>
  <c r="M43" i="1"/>
  <c r="M44" i="1"/>
  <c r="M45" i="1"/>
  <c r="M51" i="1"/>
  <c r="M54" i="1"/>
  <c r="M55" i="1"/>
  <c r="M56" i="1"/>
  <c r="M57" i="1"/>
  <c r="M63" i="1"/>
  <c r="M66" i="1"/>
  <c r="M67" i="1"/>
  <c r="M68" i="1"/>
  <c r="M69" i="1"/>
  <c r="M75" i="1"/>
  <c r="M78" i="1"/>
  <c r="M79" i="1"/>
  <c r="M80" i="1"/>
  <c r="M81" i="1"/>
  <c r="M87" i="1"/>
  <c r="M90" i="1"/>
  <c r="M91" i="1"/>
  <c r="M92" i="1"/>
  <c r="M93" i="1"/>
  <c r="M99" i="1"/>
  <c r="M102" i="1"/>
  <c r="M103" i="1"/>
  <c r="M104" i="1"/>
  <c r="M105" i="1"/>
  <c r="M111" i="1"/>
  <c r="M114" i="1"/>
  <c r="M115" i="1"/>
  <c r="M116" i="1"/>
  <c r="M117" i="1"/>
  <c r="M123" i="1"/>
  <c r="M126" i="1"/>
  <c r="M127" i="1"/>
  <c r="M128" i="1"/>
  <c r="M129" i="1"/>
  <c r="M135" i="1"/>
  <c r="M138" i="1"/>
  <c r="M139" i="1"/>
  <c r="M140" i="1"/>
  <c r="M141" i="1"/>
  <c r="M150" i="1"/>
  <c r="M151" i="1"/>
  <c r="M152" i="1"/>
  <c r="M153" i="1"/>
  <c r="M162" i="1"/>
  <c r="M163" i="1"/>
  <c r="M164" i="1"/>
  <c r="M165" i="1"/>
  <c r="M174" i="1"/>
  <c r="M175" i="1"/>
  <c r="M176" i="1"/>
  <c r="M177" i="1"/>
  <c r="M186" i="1"/>
  <c r="M187" i="1"/>
  <c r="M188" i="1"/>
  <c r="M189" i="1"/>
  <c r="M198" i="1"/>
  <c r="M199" i="1"/>
  <c r="M200" i="1"/>
  <c r="M201" i="1"/>
  <c r="M210" i="1"/>
  <c r="M211" i="1"/>
  <c r="M212" i="1"/>
  <c r="M213" i="1"/>
  <c r="M222" i="1"/>
  <c r="M223" i="1"/>
  <c r="M224" i="1"/>
  <c r="M225" i="1"/>
  <c r="M234" i="1"/>
  <c r="M235" i="1"/>
  <c r="M236" i="1"/>
  <c r="M237" i="1"/>
  <c r="M246" i="1"/>
  <c r="M247" i="1"/>
  <c r="M248" i="1"/>
  <c r="M249" i="1"/>
  <c r="M258" i="1"/>
  <c r="M259" i="1"/>
  <c r="M260" i="1"/>
  <c r="M261" i="1"/>
  <c r="M270" i="1"/>
  <c r="M271" i="1"/>
  <c r="M272" i="1"/>
  <c r="M273" i="1"/>
  <c r="M282" i="1"/>
  <c r="M283" i="1"/>
  <c r="M284" i="1"/>
  <c r="M285" i="1"/>
  <c r="M294" i="1"/>
  <c r="M295" i="1"/>
  <c r="M296" i="1"/>
  <c r="M297" i="1"/>
  <c r="J2" i="1"/>
  <c r="L2" i="1" s="1" a="1"/>
  <c r="L2" i="1" s="1"/>
  <c r="K2" i="1"/>
  <c r="M2" i="1" s="1"/>
  <c r="J3" i="1"/>
  <c r="L3" i="1" s="1" a="1"/>
  <c r="L3" i="1" s="1"/>
  <c r="K3" i="1"/>
  <c r="J4" i="1"/>
  <c r="L4" i="1" s="1" a="1"/>
  <c r="L4" i="1" s="1"/>
  <c r="K4" i="1"/>
  <c r="M4" i="1" s="1"/>
  <c r="J5" i="1"/>
  <c r="L5" i="1" s="1" a="1"/>
  <c r="L5" i="1" s="1"/>
  <c r="K5" i="1"/>
  <c r="M5" i="1" s="1"/>
  <c r="J6" i="1"/>
  <c r="K6" i="1"/>
  <c r="J7" i="1"/>
  <c r="K7" i="1"/>
  <c r="J8" i="1"/>
  <c r="L8" i="1" s="1" a="1"/>
  <c r="L8" i="1" s="1"/>
  <c r="K8" i="1"/>
  <c r="J9" i="1"/>
  <c r="L9" i="1" s="1" a="1"/>
  <c r="L9" i="1" s="1"/>
  <c r="K9" i="1"/>
  <c r="J10" i="1"/>
  <c r="L10" i="1" s="1" a="1"/>
  <c r="L10" i="1" s="1"/>
  <c r="K10" i="1"/>
  <c r="M10" i="1" s="1"/>
  <c r="J11" i="1"/>
  <c r="L11" i="1" s="1" a="1"/>
  <c r="L11" i="1" s="1"/>
  <c r="K11" i="1"/>
  <c r="M11" i="1" s="1"/>
  <c r="J12" i="1"/>
  <c r="L12" i="1" s="1" a="1"/>
  <c r="L12" i="1" s="1"/>
  <c r="K12" i="1"/>
  <c r="M12" i="1" s="1"/>
  <c r="J13" i="1"/>
  <c r="L13" i="1" s="1" a="1"/>
  <c r="L13" i="1" s="1"/>
  <c r="K13" i="1"/>
  <c r="M13" i="1" s="1"/>
  <c r="J14" i="1"/>
  <c r="L14" i="1" s="1" a="1"/>
  <c r="L14" i="1" s="1"/>
  <c r="K14" i="1"/>
  <c r="M14" i="1" s="1"/>
  <c r="J15" i="1"/>
  <c r="L15" i="1" s="1" a="1"/>
  <c r="L15" i="1" s="1"/>
  <c r="K15" i="1"/>
  <c r="J16" i="1"/>
  <c r="L16" i="1" s="1" a="1"/>
  <c r="L16" i="1" s="1"/>
  <c r="K16" i="1"/>
  <c r="M16" i="1" s="1"/>
  <c r="J17" i="1"/>
  <c r="L17" i="1" s="1" a="1"/>
  <c r="L17" i="1" s="1"/>
  <c r="K17" i="1"/>
  <c r="M17" i="1" s="1"/>
  <c r="J18" i="1"/>
  <c r="K18" i="1"/>
  <c r="J19" i="1"/>
  <c r="K19" i="1"/>
  <c r="J20" i="1"/>
  <c r="L20" i="1" s="1" a="1"/>
  <c r="L20" i="1" s="1"/>
  <c r="K20" i="1"/>
  <c r="J21" i="1"/>
  <c r="L21" i="1" s="1" a="1"/>
  <c r="L21" i="1" s="1"/>
  <c r="K21" i="1"/>
  <c r="J22" i="1"/>
  <c r="L22" i="1" s="1" a="1"/>
  <c r="L22" i="1" s="1"/>
  <c r="K22" i="1"/>
  <c r="M22" i="1" s="1"/>
  <c r="J23" i="1"/>
  <c r="L23" i="1" s="1" a="1"/>
  <c r="L23" i="1" s="1"/>
  <c r="K23" i="1"/>
  <c r="M23" i="1" s="1"/>
  <c r="J24" i="1"/>
  <c r="K24" i="1"/>
  <c r="M24" i="1" s="1"/>
  <c r="J25" i="1"/>
  <c r="K25" i="1"/>
  <c r="M25" i="1" s="1"/>
  <c r="J26" i="1"/>
  <c r="L26" i="1" s="1" a="1"/>
  <c r="L26" i="1" s="1"/>
  <c r="K26" i="1"/>
  <c r="M26" i="1" s="1"/>
  <c r="J27" i="1"/>
  <c r="L27" i="1" s="1" a="1"/>
  <c r="L27" i="1" s="1"/>
  <c r="K27" i="1"/>
  <c r="J28" i="1"/>
  <c r="L28" i="1" s="1" a="1"/>
  <c r="L28" i="1" s="1"/>
  <c r="K28" i="1"/>
  <c r="M28" i="1" s="1"/>
  <c r="J29" i="1"/>
  <c r="L29" i="1" s="1" a="1"/>
  <c r="L29" i="1" s="1"/>
  <c r="K29" i="1"/>
  <c r="M29" i="1" s="1"/>
  <c r="J30" i="1"/>
  <c r="K30" i="1"/>
  <c r="J31" i="1"/>
  <c r="K31" i="1"/>
  <c r="J32" i="1"/>
  <c r="L32" i="1" s="1" a="1"/>
  <c r="L32" i="1" s="1"/>
  <c r="K32" i="1"/>
  <c r="J33" i="1"/>
  <c r="L33" i="1" s="1" a="1"/>
  <c r="L33" i="1" s="1"/>
  <c r="K33" i="1"/>
  <c r="J34" i="1"/>
  <c r="L34" i="1" s="1" a="1"/>
  <c r="L34" i="1" s="1"/>
  <c r="K34" i="1"/>
  <c r="M34" i="1" s="1"/>
  <c r="J35" i="1"/>
  <c r="L35" i="1" s="1" a="1"/>
  <c r="L35" i="1" s="1"/>
  <c r="K35" i="1"/>
  <c r="M35" i="1" s="1"/>
  <c r="J36" i="1"/>
  <c r="L36" i="1" s="1" a="1"/>
  <c r="L36" i="1" s="1"/>
  <c r="K36" i="1"/>
  <c r="M36" i="1" s="1"/>
  <c r="J37" i="1"/>
  <c r="L37" i="1" s="1" a="1"/>
  <c r="L37" i="1" s="1"/>
  <c r="K37" i="1"/>
  <c r="M37" i="1" s="1"/>
  <c r="J38" i="1"/>
  <c r="L38" i="1" s="1" a="1"/>
  <c r="L38" i="1" s="1"/>
  <c r="K38" i="1"/>
  <c r="M38" i="1" s="1"/>
  <c r="J39" i="1"/>
  <c r="L39" i="1" s="1" a="1"/>
  <c r="L39" i="1" s="1"/>
  <c r="K39" i="1"/>
  <c r="J40" i="1"/>
  <c r="L40" i="1" s="1" a="1"/>
  <c r="L40" i="1" s="1"/>
  <c r="K40" i="1"/>
  <c r="M40" i="1" s="1"/>
  <c r="J41" i="1"/>
  <c r="L41" i="1" s="1" a="1"/>
  <c r="L41" i="1" s="1"/>
  <c r="K41" i="1"/>
  <c r="M41" i="1" s="1"/>
  <c r="J42" i="1"/>
  <c r="K42" i="1"/>
  <c r="J43" i="1"/>
  <c r="K43" i="1"/>
  <c r="J44" i="1"/>
  <c r="L44" i="1" s="1" a="1"/>
  <c r="L44" i="1" s="1"/>
  <c r="K44" i="1"/>
  <c r="J45" i="1"/>
  <c r="L45" i="1" s="1" a="1"/>
  <c r="L45" i="1" s="1"/>
  <c r="K45" i="1"/>
  <c r="J46" i="1"/>
  <c r="L46" i="1" s="1" a="1"/>
  <c r="L46" i="1" s="1"/>
  <c r="K46" i="1"/>
  <c r="M46" i="1" s="1"/>
  <c r="J47" i="1"/>
  <c r="L47" i="1" s="1" a="1"/>
  <c r="L47" i="1" s="1"/>
  <c r="K47" i="1"/>
  <c r="M47" i="1" s="1"/>
  <c r="J48" i="1"/>
  <c r="K48" i="1"/>
  <c r="M48" i="1" s="1"/>
  <c r="J49" i="1"/>
  <c r="K49" i="1"/>
  <c r="M49" i="1" s="1"/>
  <c r="J50" i="1"/>
  <c r="L50" i="1" s="1" a="1"/>
  <c r="L50" i="1" s="1"/>
  <c r="K50" i="1"/>
  <c r="M50" i="1" s="1"/>
  <c r="J51" i="1"/>
  <c r="L51" i="1" s="1" a="1"/>
  <c r="L51" i="1" s="1"/>
  <c r="K51" i="1"/>
  <c r="J52" i="1"/>
  <c r="L52" i="1" s="1" a="1"/>
  <c r="L52" i="1" s="1"/>
  <c r="K52" i="1"/>
  <c r="M52" i="1" s="1"/>
  <c r="J53" i="1"/>
  <c r="L53" i="1" s="1" a="1"/>
  <c r="L53" i="1" s="1"/>
  <c r="K53" i="1"/>
  <c r="M53" i="1" s="1"/>
  <c r="J54" i="1"/>
  <c r="K54" i="1"/>
  <c r="J55" i="1"/>
  <c r="K55" i="1"/>
  <c r="J56" i="1"/>
  <c r="L56" i="1" s="1" a="1"/>
  <c r="L56" i="1" s="1"/>
  <c r="K56" i="1"/>
  <c r="J57" i="1"/>
  <c r="L57" i="1" s="1" a="1"/>
  <c r="L57" i="1" s="1"/>
  <c r="K57" i="1"/>
  <c r="J58" i="1"/>
  <c r="L58" i="1" s="1" a="1"/>
  <c r="L58" i="1" s="1"/>
  <c r="K58" i="1"/>
  <c r="M58" i="1" s="1"/>
  <c r="J59" i="1"/>
  <c r="L59" i="1" s="1" a="1"/>
  <c r="L59" i="1" s="1"/>
  <c r="K59" i="1"/>
  <c r="M59" i="1" s="1"/>
  <c r="J60" i="1"/>
  <c r="L60" i="1" s="1" a="1"/>
  <c r="L60" i="1" s="1"/>
  <c r="K60" i="1"/>
  <c r="M60" i="1" s="1"/>
  <c r="J61" i="1"/>
  <c r="L61" i="1" s="1" a="1"/>
  <c r="L61" i="1" s="1"/>
  <c r="K61" i="1"/>
  <c r="M61" i="1" s="1"/>
  <c r="J62" i="1"/>
  <c r="L62" i="1" s="1" a="1"/>
  <c r="L62" i="1" s="1"/>
  <c r="K62" i="1"/>
  <c r="M62" i="1" s="1"/>
  <c r="J63" i="1"/>
  <c r="L63" i="1" s="1" a="1"/>
  <c r="L63" i="1" s="1"/>
  <c r="K63" i="1"/>
  <c r="J64" i="1"/>
  <c r="L64" i="1" s="1" a="1"/>
  <c r="L64" i="1" s="1"/>
  <c r="K64" i="1"/>
  <c r="M64" i="1" s="1"/>
  <c r="J65" i="1"/>
  <c r="K65" i="1"/>
  <c r="M65" i="1" s="1"/>
  <c r="J66" i="1"/>
  <c r="K66" i="1"/>
  <c r="J67" i="1"/>
  <c r="K67" i="1"/>
  <c r="J68" i="1"/>
  <c r="L68" i="1" s="1" a="1"/>
  <c r="L68" i="1" s="1"/>
  <c r="K68" i="1"/>
  <c r="J69" i="1"/>
  <c r="L69" i="1" s="1" a="1"/>
  <c r="L69" i="1" s="1"/>
  <c r="K69" i="1"/>
  <c r="J70" i="1"/>
  <c r="L70" i="1" s="1" a="1"/>
  <c r="L70" i="1" s="1"/>
  <c r="K70" i="1"/>
  <c r="M70" i="1" s="1"/>
  <c r="J71" i="1"/>
  <c r="L71" i="1" s="1" a="1"/>
  <c r="L71" i="1" s="1"/>
  <c r="K71" i="1"/>
  <c r="M71" i="1" s="1"/>
  <c r="J72" i="1"/>
  <c r="K72" i="1"/>
  <c r="M72" i="1" s="1"/>
  <c r="J73" i="1"/>
  <c r="K73" i="1"/>
  <c r="M73" i="1" s="1"/>
  <c r="J74" i="1"/>
  <c r="L74" i="1" s="1" a="1"/>
  <c r="L74" i="1" s="1"/>
  <c r="K74" i="1"/>
  <c r="M74" i="1" s="1"/>
  <c r="J75" i="1"/>
  <c r="L75" i="1" s="1" a="1"/>
  <c r="L75" i="1" s="1"/>
  <c r="K75" i="1"/>
  <c r="J76" i="1"/>
  <c r="L76" i="1" s="1" a="1"/>
  <c r="L76" i="1" s="1"/>
  <c r="K76" i="1"/>
  <c r="M76" i="1" s="1"/>
  <c r="J77" i="1"/>
  <c r="L77" i="1" s="1" a="1"/>
  <c r="L77" i="1" s="1"/>
  <c r="K77" i="1"/>
  <c r="M77" i="1" s="1"/>
  <c r="J78" i="1"/>
  <c r="K78" i="1"/>
  <c r="J79" i="1"/>
  <c r="K79" i="1"/>
  <c r="J80" i="1"/>
  <c r="L80" i="1" s="1" a="1"/>
  <c r="L80" i="1" s="1"/>
  <c r="K80" i="1"/>
  <c r="J81" i="1"/>
  <c r="K81" i="1"/>
  <c r="J82" i="1"/>
  <c r="L82" i="1" s="1" a="1"/>
  <c r="L82" i="1" s="1"/>
  <c r="K82" i="1"/>
  <c r="M82" i="1" s="1"/>
  <c r="J83" i="1"/>
  <c r="L83" i="1" s="1" a="1"/>
  <c r="L83" i="1" s="1"/>
  <c r="K83" i="1"/>
  <c r="M83" i="1" s="1"/>
  <c r="J84" i="1"/>
  <c r="L84" i="1" s="1" a="1"/>
  <c r="L84" i="1" s="1"/>
  <c r="K84" i="1"/>
  <c r="M84" i="1" s="1"/>
  <c r="J85" i="1"/>
  <c r="L85" i="1" s="1" a="1"/>
  <c r="L85" i="1" s="1"/>
  <c r="K85" i="1"/>
  <c r="M85" i="1" s="1"/>
  <c r="J86" i="1"/>
  <c r="L86" i="1" s="1" a="1"/>
  <c r="L86" i="1" s="1"/>
  <c r="K86" i="1"/>
  <c r="M86" i="1" s="1"/>
  <c r="J87" i="1"/>
  <c r="L87" i="1" s="1" a="1"/>
  <c r="L87" i="1" s="1"/>
  <c r="K87" i="1"/>
  <c r="J88" i="1"/>
  <c r="L88" i="1" s="1" a="1"/>
  <c r="L88" i="1" s="1"/>
  <c r="K88" i="1"/>
  <c r="M88" i="1" s="1"/>
  <c r="J89" i="1"/>
  <c r="K89" i="1"/>
  <c r="M89" i="1" s="1"/>
  <c r="J90" i="1"/>
  <c r="K90" i="1"/>
  <c r="J91" i="1"/>
  <c r="K91" i="1"/>
  <c r="J92" i="1"/>
  <c r="L92" i="1" s="1" a="1"/>
  <c r="L92" i="1" s="1"/>
  <c r="K92" i="1"/>
  <c r="J93" i="1"/>
  <c r="L93" i="1" s="1" a="1"/>
  <c r="L93" i="1" s="1"/>
  <c r="K93" i="1"/>
  <c r="J94" i="1"/>
  <c r="L94" i="1" s="1" a="1"/>
  <c r="L94" i="1" s="1"/>
  <c r="K94" i="1"/>
  <c r="M94" i="1" s="1"/>
  <c r="J95" i="1"/>
  <c r="L95" i="1" s="1" a="1"/>
  <c r="L95" i="1" s="1"/>
  <c r="K95" i="1"/>
  <c r="M95" i="1" s="1"/>
  <c r="J96" i="1"/>
  <c r="K96" i="1"/>
  <c r="M96" i="1" s="1"/>
  <c r="J97" i="1"/>
  <c r="K97" i="1"/>
  <c r="M97" i="1" s="1"/>
  <c r="J98" i="1"/>
  <c r="L98" i="1" s="1" a="1"/>
  <c r="L98" i="1" s="1"/>
  <c r="K98" i="1"/>
  <c r="M98" i="1" s="1"/>
  <c r="J99" i="1"/>
  <c r="L99" i="1" s="1" a="1"/>
  <c r="L99" i="1" s="1"/>
  <c r="K99" i="1"/>
  <c r="J100" i="1"/>
  <c r="L100" i="1" s="1" a="1"/>
  <c r="L100" i="1" s="1"/>
  <c r="K100" i="1"/>
  <c r="M100" i="1" s="1"/>
  <c r="J101" i="1"/>
  <c r="L101" i="1" s="1" a="1"/>
  <c r="L101" i="1" s="1"/>
  <c r="K101" i="1"/>
  <c r="M101" i="1" s="1"/>
  <c r="J102" i="1"/>
  <c r="K102" i="1"/>
  <c r="J103" i="1"/>
  <c r="K103" i="1"/>
  <c r="J104" i="1"/>
  <c r="L104" i="1" s="1" a="1"/>
  <c r="L104" i="1" s="1"/>
  <c r="K104" i="1"/>
  <c r="J105" i="1"/>
  <c r="K105" i="1"/>
  <c r="J106" i="1"/>
  <c r="L106" i="1" s="1" a="1"/>
  <c r="L106" i="1" s="1"/>
  <c r="K106" i="1"/>
  <c r="M106" i="1" s="1"/>
  <c r="J107" i="1"/>
  <c r="L107" i="1" s="1" a="1"/>
  <c r="L107" i="1" s="1"/>
  <c r="K107" i="1"/>
  <c r="M107" i="1" s="1"/>
  <c r="J108" i="1"/>
  <c r="L108" i="1" s="1" a="1"/>
  <c r="L108" i="1" s="1"/>
  <c r="K108" i="1"/>
  <c r="M108" i="1" s="1"/>
  <c r="J109" i="1"/>
  <c r="L109" i="1" s="1" a="1"/>
  <c r="L109" i="1" s="1"/>
  <c r="K109" i="1"/>
  <c r="M109" i="1" s="1"/>
  <c r="J110" i="1"/>
  <c r="L110" i="1" s="1" a="1"/>
  <c r="L110" i="1" s="1"/>
  <c r="K110" i="1"/>
  <c r="M110" i="1" s="1"/>
  <c r="J111" i="1"/>
  <c r="L111" i="1" s="1" a="1"/>
  <c r="L111" i="1" s="1"/>
  <c r="K111" i="1"/>
  <c r="J112" i="1"/>
  <c r="L112" i="1" s="1" a="1"/>
  <c r="L112" i="1" s="1"/>
  <c r="K112" i="1"/>
  <c r="M112" i="1" s="1"/>
  <c r="J113" i="1"/>
  <c r="K113" i="1"/>
  <c r="M113" i="1" s="1"/>
  <c r="J114" i="1"/>
  <c r="K114" i="1"/>
  <c r="J115" i="1"/>
  <c r="K115" i="1"/>
  <c r="J116" i="1"/>
  <c r="L116" i="1" s="1" a="1"/>
  <c r="L116" i="1" s="1"/>
  <c r="K116" i="1"/>
  <c r="J117" i="1"/>
  <c r="L117" i="1" s="1" a="1"/>
  <c r="L117" i="1" s="1"/>
  <c r="K117" i="1"/>
  <c r="J118" i="1"/>
  <c r="L118" i="1" s="1" a="1"/>
  <c r="L118" i="1" s="1"/>
  <c r="K118" i="1"/>
  <c r="M118" i="1" s="1"/>
  <c r="J119" i="1"/>
  <c r="L119" i="1" s="1" a="1"/>
  <c r="L119" i="1" s="1"/>
  <c r="K119" i="1"/>
  <c r="M119" i="1" s="1"/>
  <c r="J120" i="1"/>
  <c r="K120" i="1"/>
  <c r="M120" i="1" s="1"/>
  <c r="J121" i="1"/>
  <c r="K121" i="1"/>
  <c r="M121" i="1" s="1"/>
  <c r="J122" i="1"/>
  <c r="L122" i="1" s="1" a="1"/>
  <c r="L122" i="1" s="1"/>
  <c r="K122" i="1"/>
  <c r="M122" i="1" s="1"/>
  <c r="J123" i="1"/>
  <c r="L123" i="1" s="1" a="1"/>
  <c r="L123" i="1" s="1"/>
  <c r="K123" i="1"/>
  <c r="J124" i="1"/>
  <c r="L124" i="1" s="1" a="1"/>
  <c r="L124" i="1" s="1"/>
  <c r="K124" i="1"/>
  <c r="M124" i="1" s="1"/>
  <c r="J125" i="1"/>
  <c r="L125" i="1" s="1" a="1"/>
  <c r="L125" i="1" s="1"/>
  <c r="K125" i="1"/>
  <c r="M125" i="1" s="1"/>
  <c r="J126" i="1"/>
  <c r="K126" i="1"/>
  <c r="J127" i="1"/>
  <c r="K127" i="1"/>
  <c r="J128" i="1"/>
  <c r="L128" i="1" s="1" a="1"/>
  <c r="L128" i="1" s="1"/>
  <c r="K128" i="1"/>
  <c r="J129" i="1"/>
  <c r="K129" i="1"/>
  <c r="J130" i="1"/>
  <c r="L130" i="1" s="1" a="1"/>
  <c r="L130" i="1" s="1"/>
  <c r="K130" i="1"/>
  <c r="M130" i="1" s="1"/>
  <c r="J131" i="1"/>
  <c r="L131" i="1" s="1" a="1"/>
  <c r="L131" i="1" s="1"/>
  <c r="K131" i="1"/>
  <c r="M131" i="1" s="1"/>
  <c r="J132" i="1"/>
  <c r="L132" i="1" s="1" a="1"/>
  <c r="L132" i="1" s="1"/>
  <c r="K132" i="1"/>
  <c r="M132" i="1" s="1"/>
  <c r="J133" i="1"/>
  <c r="L133" i="1" s="1" a="1"/>
  <c r="L133" i="1" s="1"/>
  <c r="K133" i="1"/>
  <c r="M133" i="1" s="1"/>
  <c r="J134" i="1"/>
  <c r="L134" i="1" s="1" a="1"/>
  <c r="L134" i="1" s="1"/>
  <c r="K134" i="1"/>
  <c r="M134" i="1" s="1"/>
  <c r="J135" i="1"/>
  <c r="L135" i="1" s="1" a="1"/>
  <c r="L135" i="1" s="1"/>
  <c r="K135" i="1"/>
  <c r="J136" i="1"/>
  <c r="L136" i="1" s="1" a="1"/>
  <c r="L136" i="1" s="1"/>
  <c r="K136" i="1"/>
  <c r="M136" i="1" s="1"/>
  <c r="J137" i="1"/>
  <c r="K137" i="1"/>
  <c r="M137" i="1" s="1"/>
  <c r="J138" i="1"/>
  <c r="K138" i="1"/>
  <c r="J139" i="1"/>
  <c r="K139" i="1"/>
  <c r="J140" i="1"/>
  <c r="L140" i="1" s="1" a="1"/>
  <c r="L140" i="1" s="1"/>
  <c r="K140" i="1"/>
  <c r="J141" i="1"/>
  <c r="L141" i="1" s="1" a="1"/>
  <c r="L141" i="1" s="1"/>
  <c r="K141" i="1"/>
  <c r="J142" i="1"/>
  <c r="L142" i="1" s="1" a="1"/>
  <c r="L142" i="1" s="1"/>
  <c r="K142" i="1"/>
  <c r="M142" i="1" s="1"/>
  <c r="J143" i="1"/>
  <c r="L143" i="1" s="1" a="1"/>
  <c r="L143" i="1" s="1"/>
  <c r="K143" i="1"/>
  <c r="M143" i="1" s="1"/>
  <c r="J144" i="1"/>
  <c r="K144" i="1"/>
  <c r="M144" i="1" s="1"/>
  <c r="J145" i="1"/>
  <c r="K145" i="1"/>
  <c r="M145" i="1" s="1"/>
  <c r="J146" i="1"/>
  <c r="L146" i="1" s="1" a="1"/>
  <c r="L146" i="1" s="1"/>
  <c r="K146" i="1"/>
  <c r="M146" i="1" s="1"/>
  <c r="J147" i="1"/>
  <c r="L147" i="1" s="1" a="1"/>
  <c r="L147" i="1" s="1"/>
  <c r="K147" i="1"/>
  <c r="M147" i="1" s="1"/>
  <c r="J148" i="1"/>
  <c r="L148" i="1" s="1" a="1"/>
  <c r="L148" i="1" s="1"/>
  <c r="K148" i="1"/>
  <c r="M148" i="1" s="1"/>
  <c r="J149" i="1"/>
  <c r="L149" i="1" s="1" a="1"/>
  <c r="L149" i="1" s="1"/>
  <c r="K149" i="1"/>
  <c r="M149" i="1" s="1"/>
  <c r="J150" i="1"/>
  <c r="K150" i="1"/>
  <c r="J151" i="1"/>
  <c r="K151" i="1"/>
  <c r="J152" i="1"/>
  <c r="L152" i="1" s="1" a="1"/>
  <c r="L152" i="1" s="1"/>
  <c r="K152" i="1"/>
  <c r="J153" i="1"/>
  <c r="K153" i="1"/>
  <c r="J154" i="1"/>
  <c r="L154" i="1" s="1" a="1"/>
  <c r="L154" i="1" s="1"/>
  <c r="K154" i="1"/>
  <c r="M154" i="1" s="1"/>
  <c r="J155" i="1"/>
  <c r="L155" i="1" s="1" a="1"/>
  <c r="L155" i="1" s="1"/>
  <c r="K155" i="1"/>
  <c r="M155" i="1" s="1"/>
  <c r="J156" i="1"/>
  <c r="L156" i="1" s="1" a="1"/>
  <c r="L156" i="1" s="1"/>
  <c r="K156" i="1"/>
  <c r="M156" i="1" s="1"/>
  <c r="J157" i="1"/>
  <c r="L157" i="1" s="1" a="1"/>
  <c r="L157" i="1" s="1"/>
  <c r="K157" i="1"/>
  <c r="M157" i="1" s="1"/>
  <c r="J158" i="1"/>
  <c r="L158" i="1" s="1" a="1"/>
  <c r="L158" i="1" s="1"/>
  <c r="K158" i="1"/>
  <c r="M158" i="1" s="1"/>
  <c r="J159" i="1"/>
  <c r="L159" i="1" s="1" a="1"/>
  <c r="L159" i="1" s="1"/>
  <c r="K159" i="1"/>
  <c r="M159" i="1" s="1"/>
  <c r="J160" i="1"/>
  <c r="L160" i="1" s="1" a="1"/>
  <c r="L160" i="1" s="1"/>
  <c r="K160" i="1"/>
  <c r="M160" i="1" s="1"/>
  <c r="J161" i="1"/>
  <c r="K161" i="1"/>
  <c r="M161" i="1" s="1"/>
  <c r="J162" i="1"/>
  <c r="K162" i="1"/>
  <c r="J163" i="1"/>
  <c r="K163" i="1"/>
  <c r="J164" i="1"/>
  <c r="L164" i="1" s="1" a="1"/>
  <c r="L164" i="1" s="1"/>
  <c r="K164" i="1"/>
  <c r="J165" i="1"/>
  <c r="L165" i="1" s="1" a="1"/>
  <c r="L165" i="1" s="1"/>
  <c r="K165" i="1"/>
  <c r="J166" i="1"/>
  <c r="L166" i="1" s="1" a="1"/>
  <c r="L166" i="1" s="1"/>
  <c r="K166" i="1"/>
  <c r="M166" i="1" s="1"/>
  <c r="J167" i="1"/>
  <c r="L167" i="1" s="1" a="1"/>
  <c r="L167" i="1" s="1"/>
  <c r="K167" i="1"/>
  <c r="M167" i="1" s="1"/>
  <c r="J168" i="1"/>
  <c r="K168" i="1"/>
  <c r="M168" i="1" s="1"/>
  <c r="J169" i="1"/>
  <c r="K169" i="1"/>
  <c r="M169" i="1" s="1"/>
  <c r="J170" i="1"/>
  <c r="L170" i="1" s="1" a="1"/>
  <c r="L170" i="1" s="1"/>
  <c r="K170" i="1"/>
  <c r="M170" i="1" s="1"/>
  <c r="J171" i="1"/>
  <c r="L171" i="1" s="1" a="1"/>
  <c r="L171" i="1" s="1"/>
  <c r="K171" i="1"/>
  <c r="M171" i="1" s="1"/>
  <c r="J172" i="1"/>
  <c r="L172" i="1" s="1" a="1"/>
  <c r="L172" i="1" s="1"/>
  <c r="K172" i="1"/>
  <c r="M172" i="1" s="1"/>
  <c r="J173" i="1"/>
  <c r="L173" i="1" s="1" a="1"/>
  <c r="L173" i="1" s="1"/>
  <c r="K173" i="1"/>
  <c r="M173" i="1" s="1"/>
  <c r="J174" i="1"/>
  <c r="K174" i="1"/>
  <c r="J175" i="1"/>
  <c r="K175" i="1"/>
  <c r="J176" i="1"/>
  <c r="L176" i="1" s="1" a="1"/>
  <c r="L176" i="1" s="1"/>
  <c r="K176" i="1"/>
  <c r="J177" i="1"/>
  <c r="K177" i="1"/>
  <c r="J178" i="1"/>
  <c r="L178" i="1" s="1" a="1"/>
  <c r="L178" i="1" s="1"/>
  <c r="K178" i="1"/>
  <c r="M178" i="1" s="1"/>
  <c r="J179" i="1"/>
  <c r="L179" i="1" s="1" a="1"/>
  <c r="L179" i="1" s="1"/>
  <c r="K179" i="1"/>
  <c r="M179" i="1" s="1"/>
  <c r="J180" i="1"/>
  <c r="L180" i="1" s="1" a="1"/>
  <c r="L180" i="1" s="1"/>
  <c r="K180" i="1"/>
  <c r="M180" i="1" s="1"/>
  <c r="J181" i="1"/>
  <c r="L181" i="1" s="1" a="1"/>
  <c r="L181" i="1" s="1"/>
  <c r="K181" i="1"/>
  <c r="M181" i="1" s="1"/>
  <c r="J182" i="1"/>
  <c r="L182" i="1" s="1" a="1"/>
  <c r="L182" i="1" s="1"/>
  <c r="K182" i="1"/>
  <c r="M182" i="1" s="1"/>
  <c r="J183" i="1"/>
  <c r="L183" i="1" s="1" a="1"/>
  <c r="L183" i="1" s="1"/>
  <c r="K183" i="1"/>
  <c r="M183" i="1" s="1"/>
  <c r="J184" i="1"/>
  <c r="L184" i="1" s="1" a="1"/>
  <c r="L184" i="1" s="1"/>
  <c r="K184" i="1"/>
  <c r="M184" i="1" s="1"/>
  <c r="J185" i="1"/>
  <c r="K185" i="1"/>
  <c r="M185" i="1" s="1"/>
  <c r="J186" i="1"/>
  <c r="K186" i="1"/>
  <c r="J187" i="1"/>
  <c r="K187" i="1"/>
  <c r="J188" i="1"/>
  <c r="L188" i="1" s="1" a="1"/>
  <c r="L188" i="1" s="1"/>
  <c r="K188" i="1"/>
  <c r="J189" i="1"/>
  <c r="L189" i="1" s="1" a="1"/>
  <c r="L189" i="1" s="1"/>
  <c r="K189" i="1"/>
  <c r="J190" i="1"/>
  <c r="L190" i="1" s="1" a="1"/>
  <c r="L190" i="1" s="1"/>
  <c r="K190" i="1"/>
  <c r="M190" i="1" s="1"/>
  <c r="J191" i="1"/>
  <c r="L191" i="1" s="1" a="1"/>
  <c r="L191" i="1" s="1"/>
  <c r="K191" i="1"/>
  <c r="M191" i="1" s="1"/>
  <c r="J192" i="1"/>
  <c r="K192" i="1"/>
  <c r="M192" i="1" s="1"/>
  <c r="J193" i="1"/>
  <c r="K193" i="1"/>
  <c r="M193" i="1" s="1"/>
  <c r="J194" i="1"/>
  <c r="L194" i="1" s="1" a="1"/>
  <c r="L194" i="1" s="1"/>
  <c r="K194" i="1"/>
  <c r="M194" i="1" s="1"/>
  <c r="J195" i="1"/>
  <c r="L195" i="1" s="1" a="1"/>
  <c r="L195" i="1" s="1"/>
  <c r="K195" i="1"/>
  <c r="M195" i="1" s="1"/>
  <c r="J196" i="1"/>
  <c r="L196" i="1" s="1" a="1"/>
  <c r="L196" i="1" s="1"/>
  <c r="K196" i="1"/>
  <c r="M196" i="1" s="1"/>
  <c r="J197" i="1"/>
  <c r="L197" i="1" s="1" a="1"/>
  <c r="L197" i="1" s="1"/>
  <c r="K197" i="1"/>
  <c r="M197" i="1" s="1"/>
  <c r="J198" i="1"/>
  <c r="K198" i="1"/>
  <c r="J199" i="1"/>
  <c r="K199" i="1"/>
  <c r="J200" i="1"/>
  <c r="L200" i="1" s="1" a="1"/>
  <c r="L200" i="1" s="1"/>
  <c r="K200" i="1"/>
  <c r="J201" i="1"/>
  <c r="K201" i="1"/>
  <c r="J202" i="1"/>
  <c r="L202" i="1" s="1" a="1"/>
  <c r="L202" i="1" s="1"/>
  <c r="K202" i="1"/>
  <c r="M202" i="1" s="1"/>
  <c r="J203" i="1"/>
  <c r="L203" i="1" s="1" a="1"/>
  <c r="L203" i="1" s="1"/>
  <c r="K203" i="1"/>
  <c r="M203" i="1" s="1"/>
  <c r="J204" i="1"/>
  <c r="L204" i="1" s="1" a="1"/>
  <c r="L204" i="1" s="1"/>
  <c r="K204" i="1"/>
  <c r="M204" i="1" s="1"/>
  <c r="J205" i="1"/>
  <c r="L205" i="1" s="1" a="1"/>
  <c r="L205" i="1" s="1"/>
  <c r="K205" i="1"/>
  <c r="M205" i="1" s="1"/>
  <c r="J206" i="1"/>
  <c r="L206" i="1" s="1" a="1"/>
  <c r="L206" i="1" s="1"/>
  <c r="K206" i="1"/>
  <c r="M206" i="1" s="1"/>
  <c r="J207" i="1"/>
  <c r="L207" i="1" s="1" a="1"/>
  <c r="L207" i="1" s="1"/>
  <c r="K207" i="1"/>
  <c r="M207" i="1" s="1"/>
  <c r="J208" i="1"/>
  <c r="L208" i="1" s="1" a="1"/>
  <c r="L208" i="1" s="1"/>
  <c r="K208" i="1"/>
  <c r="M208" i="1" s="1"/>
  <c r="J209" i="1"/>
  <c r="K209" i="1"/>
  <c r="M209" i="1" s="1"/>
  <c r="J210" i="1"/>
  <c r="K210" i="1"/>
  <c r="J211" i="1"/>
  <c r="K211" i="1"/>
  <c r="J212" i="1"/>
  <c r="L212" i="1" s="1" a="1"/>
  <c r="L212" i="1" s="1"/>
  <c r="K212" i="1"/>
  <c r="J213" i="1"/>
  <c r="L213" i="1" s="1" a="1"/>
  <c r="L213" i="1" s="1"/>
  <c r="K213" i="1"/>
  <c r="J214" i="1"/>
  <c r="L214" i="1" s="1" a="1"/>
  <c r="L214" i="1" s="1"/>
  <c r="K214" i="1"/>
  <c r="M214" i="1" s="1"/>
  <c r="J215" i="1"/>
  <c r="L215" i="1" s="1" a="1"/>
  <c r="L215" i="1" s="1"/>
  <c r="K215" i="1"/>
  <c r="M215" i="1" s="1"/>
  <c r="J216" i="1"/>
  <c r="K216" i="1"/>
  <c r="M216" i="1" s="1"/>
  <c r="J217" i="1"/>
  <c r="K217" i="1"/>
  <c r="M217" i="1" s="1"/>
  <c r="J218" i="1"/>
  <c r="K218" i="1"/>
  <c r="M218" i="1" s="1"/>
  <c r="J219" i="1"/>
  <c r="L219" i="1" s="1" a="1"/>
  <c r="L219" i="1" s="1"/>
  <c r="K219" i="1"/>
  <c r="M219" i="1" s="1"/>
  <c r="J220" i="1"/>
  <c r="L220" i="1" s="1" a="1"/>
  <c r="L220" i="1" s="1"/>
  <c r="K220" i="1"/>
  <c r="M220" i="1" s="1"/>
  <c r="J221" i="1"/>
  <c r="L221" i="1" s="1" a="1"/>
  <c r="L221" i="1" s="1"/>
  <c r="K221" i="1"/>
  <c r="M221" i="1" s="1"/>
  <c r="J222" i="1"/>
  <c r="K222" i="1"/>
  <c r="J223" i="1"/>
  <c r="K223" i="1"/>
  <c r="J224" i="1"/>
  <c r="L224" i="1" s="1" a="1"/>
  <c r="L224" i="1" s="1"/>
  <c r="K224" i="1"/>
  <c r="J225" i="1"/>
  <c r="K225" i="1"/>
  <c r="J226" i="1"/>
  <c r="L226" i="1" s="1" a="1"/>
  <c r="L226" i="1" s="1"/>
  <c r="K226" i="1"/>
  <c r="M226" i="1" s="1"/>
  <c r="J227" i="1"/>
  <c r="L227" i="1" s="1" a="1"/>
  <c r="L227" i="1" s="1"/>
  <c r="K227" i="1"/>
  <c r="M227" i="1" s="1"/>
  <c r="J228" i="1"/>
  <c r="L228" i="1" s="1" a="1"/>
  <c r="L228" i="1" s="1"/>
  <c r="K228" i="1"/>
  <c r="M228" i="1" s="1"/>
  <c r="J229" i="1"/>
  <c r="L229" i="1" s="1" a="1"/>
  <c r="L229" i="1" s="1"/>
  <c r="K229" i="1"/>
  <c r="M229" i="1" s="1"/>
  <c r="J230" i="1"/>
  <c r="L230" i="1" s="1" a="1"/>
  <c r="L230" i="1" s="1"/>
  <c r="K230" i="1"/>
  <c r="M230" i="1" s="1"/>
  <c r="J231" i="1"/>
  <c r="L231" i="1" s="1" a="1"/>
  <c r="L231" i="1" s="1"/>
  <c r="K231" i="1"/>
  <c r="M231" i="1" s="1"/>
  <c r="J232" i="1"/>
  <c r="L232" i="1" s="1" a="1"/>
  <c r="L232" i="1" s="1"/>
  <c r="K232" i="1"/>
  <c r="M232" i="1" s="1"/>
  <c r="J233" i="1"/>
  <c r="K233" i="1"/>
  <c r="M233" i="1" s="1"/>
  <c r="J234" i="1"/>
  <c r="K234" i="1"/>
  <c r="J235" i="1"/>
  <c r="K235" i="1"/>
  <c r="J236" i="1"/>
  <c r="L236" i="1" s="1" a="1"/>
  <c r="L236" i="1" s="1"/>
  <c r="K236" i="1"/>
  <c r="J237" i="1"/>
  <c r="L237" i="1" s="1" a="1"/>
  <c r="L237" i="1" s="1"/>
  <c r="K237" i="1"/>
  <c r="J238" i="1"/>
  <c r="L238" i="1" s="1" a="1"/>
  <c r="L238" i="1" s="1"/>
  <c r="K238" i="1"/>
  <c r="M238" i="1" s="1"/>
  <c r="J239" i="1"/>
  <c r="L239" i="1" s="1" a="1"/>
  <c r="L239" i="1" s="1"/>
  <c r="K239" i="1"/>
  <c r="M239" i="1" s="1"/>
  <c r="J240" i="1"/>
  <c r="K240" i="1"/>
  <c r="M240" i="1" s="1"/>
  <c r="J241" i="1"/>
  <c r="K241" i="1"/>
  <c r="M241" i="1" s="1"/>
  <c r="J242" i="1"/>
  <c r="K242" i="1"/>
  <c r="M242" i="1" s="1"/>
  <c r="J243" i="1"/>
  <c r="L243" i="1" s="1" a="1"/>
  <c r="L243" i="1" s="1"/>
  <c r="K243" i="1"/>
  <c r="M243" i="1" s="1"/>
  <c r="J244" i="1"/>
  <c r="L244" i="1" s="1" a="1"/>
  <c r="L244" i="1" s="1"/>
  <c r="K244" i="1"/>
  <c r="M244" i="1" s="1"/>
  <c r="J245" i="1"/>
  <c r="L245" i="1" s="1" a="1"/>
  <c r="L245" i="1" s="1"/>
  <c r="K245" i="1"/>
  <c r="M245" i="1" s="1"/>
  <c r="J246" i="1"/>
  <c r="K246" i="1"/>
  <c r="J247" i="1"/>
  <c r="K247" i="1"/>
  <c r="J248" i="1"/>
  <c r="L248" i="1" s="1" a="1"/>
  <c r="L248" i="1" s="1"/>
  <c r="K248" i="1"/>
  <c r="J249" i="1"/>
  <c r="K249" i="1"/>
  <c r="J250" i="1"/>
  <c r="L250" i="1" s="1" a="1"/>
  <c r="L250" i="1" s="1"/>
  <c r="K250" i="1"/>
  <c r="M250" i="1" s="1"/>
  <c r="J251" i="1"/>
  <c r="L251" i="1" s="1" a="1"/>
  <c r="L251" i="1" s="1"/>
  <c r="K251" i="1"/>
  <c r="M251" i="1" s="1"/>
  <c r="J252" i="1"/>
  <c r="L252" i="1" s="1" a="1"/>
  <c r="L252" i="1" s="1"/>
  <c r="K252" i="1"/>
  <c r="M252" i="1" s="1"/>
  <c r="J253" i="1"/>
  <c r="L253" i="1" s="1" a="1"/>
  <c r="L253" i="1" s="1"/>
  <c r="K253" i="1"/>
  <c r="M253" i="1" s="1"/>
  <c r="J254" i="1"/>
  <c r="L254" i="1" s="1" a="1"/>
  <c r="L254" i="1" s="1"/>
  <c r="K254" i="1"/>
  <c r="M254" i="1" s="1"/>
  <c r="J255" i="1"/>
  <c r="L255" i="1" s="1" a="1"/>
  <c r="L255" i="1" s="1"/>
  <c r="K255" i="1"/>
  <c r="M255" i="1" s="1"/>
  <c r="J256" i="1"/>
  <c r="L256" i="1" s="1" a="1"/>
  <c r="L256" i="1" s="1"/>
  <c r="K256" i="1"/>
  <c r="M256" i="1" s="1"/>
  <c r="J257" i="1"/>
  <c r="L257" i="1" s="1" a="1"/>
  <c r="L257" i="1" s="1"/>
  <c r="K257" i="1"/>
  <c r="M257" i="1" s="1"/>
  <c r="J258" i="1"/>
  <c r="K258" i="1"/>
  <c r="J259" i="1"/>
  <c r="K259" i="1"/>
  <c r="J260" i="1"/>
  <c r="L260" i="1" s="1" a="1"/>
  <c r="L260" i="1" s="1"/>
  <c r="K260" i="1"/>
  <c r="J261" i="1"/>
  <c r="L261" i="1" s="1" a="1"/>
  <c r="L261" i="1" s="1"/>
  <c r="K261" i="1"/>
  <c r="J262" i="1"/>
  <c r="L262" i="1" s="1" a="1"/>
  <c r="L262" i="1" s="1"/>
  <c r="K262" i="1"/>
  <c r="M262" i="1" s="1"/>
  <c r="J263" i="1"/>
  <c r="L263" i="1" s="1" a="1"/>
  <c r="L263" i="1" s="1"/>
  <c r="K263" i="1"/>
  <c r="M263" i="1" s="1"/>
  <c r="J264" i="1"/>
  <c r="K264" i="1"/>
  <c r="M264" i="1" s="1"/>
  <c r="J265" i="1"/>
  <c r="K265" i="1"/>
  <c r="M265" i="1" s="1"/>
  <c r="J266" i="1"/>
  <c r="K266" i="1"/>
  <c r="M266" i="1" s="1"/>
  <c r="J267" i="1"/>
  <c r="L267" i="1" s="1" a="1"/>
  <c r="L267" i="1" s="1"/>
  <c r="K267" i="1"/>
  <c r="M267" i="1" s="1"/>
  <c r="J268" i="1"/>
  <c r="L268" i="1" s="1" a="1"/>
  <c r="L268" i="1" s="1"/>
  <c r="K268" i="1"/>
  <c r="M268" i="1" s="1"/>
  <c r="J269" i="1"/>
  <c r="L269" i="1" s="1" a="1"/>
  <c r="L269" i="1" s="1"/>
  <c r="K269" i="1"/>
  <c r="M269" i="1" s="1"/>
  <c r="J270" i="1"/>
  <c r="L270" i="1" s="1" a="1"/>
  <c r="L270" i="1" s="1"/>
  <c r="K270" i="1"/>
  <c r="J271" i="1"/>
  <c r="K271" i="1"/>
  <c r="J272" i="1"/>
  <c r="L272" i="1" s="1" a="1"/>
  <c r="L272" i="1" s="1"/>
  <c r="K272" i="1"/>
  <c r="J273" i="1"/>
  <c r="K273" i="1"/>
  <c r="J274" i="1"/>
  <c r="K274" i="1"/>
  <c r="M274" i="1" s="1"/>
  <c r="J275" i="1"/>
  <c r="L275" i="1" s="1" a="1"/>
  <c r="L275" i="1" s="1"/>
  <c r="K275" i="1"/>
  <c r="M275" i="1" s="1"/>
  <c r="J276" i="1"/>
  <c r="L276" i="1" s="1" a="1"/>
  <c r="L276" i="1" s="1"/>
  <c r="K276" i="1"/>
  <c r="M276" i="1" s="1"/>
  <c r="J277" i="1"/>
  <c r="L277" i="1" s="1" a="1"/>
  <c r="L277" i="1" s="1"/>
  <c r="K277" i="1"/>
  <c r="M277" i="1" s="1"/>
  <c r="J278" i="1"/>
  <c r="L278" i="1" s="1" a="1"/>
  <c r="L278" i="1" s="1"/>
  <c r="K278" i="1"/>
  <c r="M278" i="1" s="1"/>
  <c r="J279" i="1"/>
  <c r="L279" i="1" s="1" a="1"/>
  <c r="L279" i="1" s="1"/>
  <c r="K279" i="1"/>
  <c r="M279" i="1" s="1"/>
  <c r="J280" i="1"/>
  <c r="L280" i="1" s="1" a="1"/>
  <c r="L280" i="1" s="1"/>
  <c r="K280" i="1"/>
  <c r="M280" i="1" s="1"/>
  <c r="J281" i="1"/>
  <c r="L281" i="1" s="1" a="1"/>
  <c r="L281" i="1" s="1"/>
  <c r="K281" i="1"/>
  <c r="M281" i="1" s="1"/>
  <c r="J282" i="1"/>
  <c r="K282" i="1"/>
  <c r="J283" i="1"/>
  <c r="K283" i="1"/>
  <c r="J284" i="1"/>
  <c r="L284" i="1" s="1" a="1"/>
  <c r="L284" i="1" s="1"/>
  <c r="K284" i="1"/>
  <c r="J285" i="1"/>
  <c r="L285" i="1" s="1" a="1"/>
  <c r="L285" i="1" s="1"/>
  <c r="K285" i="1"/>
  <c r="J286" i="1"/>
  <c r="L286" i="1" s="1" a="1"/>
  <c r="L286" i="1" s="1"/>
  <c r="K286" i="1"/>
  <c r="M286" i="1" s="1"/>
  <c r="J287" i="1"/>
  <c r="L287" i="1" s="1" a="1"/>
  <c r="L287" i="1" s="1"/>
  <c r="K287" i="1"/>
  <c r="M287" i="1" s="1"/>
  <c r="J288" i="1"/>
  <c r="K288" i="1"/>
  <c r="M288" i="1" s="1"/>
  <c r="J289" i="1"/>
  <c r="K289" i="1"/>
  <c r="M289" i="1" s="1"/>
  <c r="J290" i="1"/>
  <c r="K290" i="1"/>
  <c r="M290" i="1" s="1"/>
  <c r="J291" i="1"/>
  <c r="L291" i="1" s="1" a="1"/>
  <c r="L291" i="1" s="1"/>
  <c r="K291" i="1"/>
  <c r="M291" i="1" s="1"/>
  <c r="J292" i="1"/>
  <c r="L292" i="1" s="1" a="1"/>
  <c r="L292" i="1" s="1"/>
  <c r="K292" i="1"/>
  <c r="M292" i="1" s="1"/>
  <c r="J293" i="1"/>
  <c r="L293" i="1" s="1" a="1"/>
  <c r="L293" i="1" s="1"/>
  <c r="K293" i="1"/>
  <c r="M293" i="1" s="1"/>
  <c r="J294" i="1"/>
  <c r="L294" i="1" s="1" a="1"/>
  <c r="L294" i="1" s="1"/>
  <c r="K294" i="1"/>
  <c r="J295" i="1"/>
  <c r="K295" i="1"/>
  <c r="J296" i="1"/>
  <c r="L296" i="1" s="1" a="1"/>
  <c r="L296" i="1" s="1"/>
  <c r="K296" i="1"/>
  <c r="J297" i="1"/>
  <c r="K297" i="1"/>
  <c r="J298" i="1"/>
  <c r="K298" i="1"/>
  <c r="M298" i="1" s="1"/>
  <c r="J299" i="1"/>
  <c r="L299" i="1" s="1" a="1"/>
  <c r="L299" i="1" s="1"/>
  <c r="K299" i="1"/>
  <c r="M299" i="1" s="1"/>
  <c r="J300" i="1"/>
  <c r="L300" i="1" s="1" a="1"/>
  <c r="L300" i="1" s="1"/>
  <c r="K300" i="1"/>
  <c r="M300" i="1" s="1"/>
  <c r="J301" i="1"/>
  <c r="L301" i="1" s="1" a="1"/>
  <c r="L301" i="1" s="1"/>
  <c r="K301" i="1"/>
  <c r="M301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B285" i="1" a="1"/>
  <c r="B285" i="1" s="1"/>
  <c r="B286" i="1" a="1"/>
  <c r="B286" i="1" s="1"/>
  <c r="B287" i="1" a="1"/>
  <c r="B287" i="1" s="1"/>
  <c r="B288" i="1" a="1"/>
  <c r="B288" i="1" s="1"/>
  <c r="B289" i="1" a="1"/>
  <c r="B289" i="1" s="1"/>
  <c r="B290" i="1" a="1"/>
  <c r="B290" i="1" s="1"/>
  <c r="B291" i="1" a="1"/>
  <c r="B291" i="1" s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 s="1"/>
  <c r="B299" i="1" a="1"/>
  <c r="B299" i="1" s="1"/>
  <c r="B300" i="1" a="1"/>
  <c r="B300" i="1" s="1"/>
  <c r="B301" i="1" a="1"/>
  <c r="B301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<sst xmlns="http://schemas.openxmlformats.org/spreadsheetml/2006/main" count="1885" uniqueCount="527">
  <si>
    <t>Nombre_Apellido</t>
  </si>
  <si>
    <t>Local</t>
  </si>
  <si>
    <t>Mall</t>
  </si>
  <si>
    <t>Pago</t>
  </si>
  <si>
    <t>Fecha</t>
  </si>
  <si>
    <t>Código</t>
  </si>
  <si>
    <t>Kobe_Higgins</t>
  </si>
  <si>
    <t>Zara</t>
  </si>
  <si>
    <t>Mall Plaza Vespucio</t>
  </si>
  <si>
    <t>efectivo</t>
  </si>
  <si>
    <t>2026-04-05</t>
  </si>
  <si>
    <t>RET218658</t>
  </si>
  <si>
    <t>Antonia_Prieto</t>
  </si>
  <si>
    <t>falabella</t>
  </si>
  <si>
    <t>Mall Plaza Egaña</t>
  </si>
  <si>
    <t>MASTER CARD</t>
  </si>
  <si>
    <t>2026-02-10</t>
  </si>
  <si>
    <t>RET734498</t>
  </si>
  <si>
    <t>Xander_Knight</t>
  </si>
  <si>
    <t>Falabella</t>
  </si>
  <si>
    <t xml:space="preserve">Mall Plaza Vespucio </t>
  </si>
  <si>
    <t>visa</t>
  </si>
  <si>
    <t>2026-02-25</t>
  </si>
  <si>
    <t>RET169557</t>
  </si>
  <si>
    <t>Dante_Morrow</t>
  </si>
  <si>
    <t>Mall Parque Arauco</t>
  </si>
  <si>
    <t>American express</t>
  </si>
  <si>
    <t>2026-01-07</t>
  </si>
  <si>
    <t>AUX733408</t>
  </si>
  <si>
    <t>Lucas_Echeverría</t>
  </si>
  <si>
    <t xml:space="preserve">Jumbo </t>
  </si>
  <si>
    <t>Parque Arauco</t>
  </si>
  <si>
    <t>2026-02-01</t>
  </si>
  <si>
    <t>RET460858</t>
  </si>
  <si>
    <t>Thaddeus_Vance</t>
  </si>
  <si>
    <t>EASY</t>
  </si>
  <si>
    <t xml:space="preserve">Master Card </t>
  </si>
  <si>
    <t>2026-04-11</t>
  </si>
  <si>
    <t>RET719495</t>
  </si>
  <si>
    <t>2026-01-08</t>
  </si>
  <si>
    <t>AUX704845</t>
  </si>
  <si>
    <t>Isidora_Pinto</t>
  </si>
  <si>
    <t>Alto Las Condes</t>
  </si>
  <si>
    <t>Mastercard</t>
  </si>
  <si>
    <t>2026-04-25</t>
  </si>
  <si>
    <t>AUX349261</t>
  </si>
  <si>
    <t xml:space="preserve">Easy </t>
  </si>
  <si>
    <t>2026-01-28</t>
  </si>
  <si>
    <t>RET710017</t>
  </si>
  <si>
    <t>Talia_Cuevas</t>
  </si>
  <si>
    <t>Easy</t>
  </si>
  <si>
    <t>MallPlaza Vespucio</t>
  </si>
  <si>
    <t xml:space="preserve">Visa </t>
  </si>
  <si>
    <t>2026-03-16</t>
  </si>
  <si>
    <t>AUX574237</t>
  </si>
  <si>
    <t>Nicolás_Olea</t>
  </si>
  <si>
    <t>París</t>
  </si>
  <si>
    <t>Efectivo</t>
  </si>
  <si>
    <t>AUX228069</t>
  </si>
  <si>
    <t>Alto las condes</t>
  </si>
  <si>
    <t>Debito</t>
  </si>
  <si>
    <t>2026-01-05</t>
  </si>
  <si>
    <t>RET328460</t>
  </si>
  <si>
    <t>H &amp; M</t>
  </si>
  <si>
    <t>2026-03-30</t>
  </si>
  <si>
    <t>AUX506882</t>
  </si>
  <si>
    <t>Priscilia_Welch</t>
  </si>
  <si>
    <t>cenco mall costanera</t>
  </si>
  <si>
    <t>2026-04-15</t>
  </si>
  <si>
    <t>RET157434</t>
  </si>
  <si>
    <t>Liora_Pace</t>
  </si>
  <si>
    <t>Jumbo</t>
  </si>
  <si>
    <t>2026-02-05</t>
  </si>
  <si>
    <t>AUX658510</t>
  </si>
  <si>
    <t>jumbo</t>
  </si>
  <si>
    <t>DEBITO</t>
  </si>
  <si>
    <t>2026-04-23</t>
  </si>
  <si>
    <t>RET286320</t>
  </si>
  <si>
    <t>Santa isabel</t>
  </si>
  <si>
    <t>parque arauco</t>
  </si>
  <si>
    <t>2026-02-18</t>
  </si>
  <si>
    <t>RET806496</t>
  </si>
  <si>
    <t>ripley</t>
  </si>
  <si>
    <t>MallPlaza Egaña</t>
  </si>
  <si>
    <t>2026-04-06</t>
  </si>
  <si>
    <t>RET455239</t>
  </si>
  <si>
    <t>Cenco Mall Costanera</t>
  </si>
  <si>
    <t>VISA</t>
  </si>
  <si>
    <t>AUX991001</t>
  </si>
  <si>
    <t>Seraphina_Moon</t>
  </si>
  <si>
    <t xml:space="preserve">PARIS </t>
  </si>
  <si>
    <t xml:space="preserve">Costanera Center </t>
  </si>
  <si>
    <t xml:space="preserve">efectivo </t>
  </si>
  <si>
    <t>2026-02-13</t>
  </si>
  <si>
    <t>RET145641</t>
  </si>
  <si>
    <t>Javiera_Lorca</t>
  </si>
  <si>
    <t>Sodimac Homecenter</t>
  </si>
  <si>
    <t>AUX211209</t>
  </si>
  <si>
    <t>Sienna_Frost</t>
  </si>
  <si>
    <t>RET160029</t>
  </si>
  <si>
    <t>Beckett_Chase</t>
  </si>
  <si>
    <t>RET438782</t>
  </si>
  <si>
    <t>Paris</t>
  </si>
  <si>
    <t>2026-01-21</t>
  </si>
  <si>
    <t>RET276401</t>
  </si>
  <si>
    <t>Camila_Errázuriz</t>
  </si>
  <si>
    <t>2026-04-01</t>
  </si>
  <si>
    <t>RET589114</t>
  </si>
  <si>
    <t>Martina_Salinas</t>
  </si>
  <si>
    <t>2026-02-21</t>
  </si>
  <si>
    <t>AUX349142</t>
  </si>
  <si>
    <t>RET615608</t>
  </si>
  <si>
    <t>2026-04-02</t>
  </si>
  <si>
    <t>AUX364625</t>
  </si>
  <si>
    <t>Joaquín_Zañartu</t>
  </si>
  <si>
    <t>Visa</t>
  </si>
  <si>
    <t>2026-03-12</t>
  </si>
  <si>
    <t>RET548468</t>
  </si>
  <si>
    <t>2026-03-20</t>
  </si>
  <si>
    <t>RET534617</t>
  </si>
  <si>
    <t>paris</t>
  </si>
  <si>
    <t>Costanera Center</t>
  </si>
  <si>
    <t>2026-03-11</t>
  </si>
  <si>
    <t>AUX662515</t>
  </si>
  <si>
    <t>Ignacio_Reyes</t>
  </si>
  <si>
    <t>RIPLEY</t>
  </si>
  <si>
    <t>Mall Alto Las Condes</t>
  </si>
  <si>
    <t>2026-03-18</t>
  </si>
  <si>
    <t>AUX360787</t>
  </si>
  <si>
    <t xml:space="preserve">Santa Isabel </t>
  </si>
  <si>
    <t>Master Card</t>
  </si>
  <si>
    <t>AUX732737</t>
  </si>
  <si>
    <t>2026-04-21</t>
  </si>
  <si>
    <t>RET855723</t>
  </si>
  <si>
    <t>American Express</t>
  </si>
  <si>
    <t>2026-01-13</t>
  </si>
  <si>
    <t>AUX118078</t>
  </si>
  <si>
    <t>RET310786</t>
  </si>
  <si>
    <t>2026-03-07</t>
  </si>
  <si>
    <t>AUX122999</t>
  </si>
  <si>
    <t>Benjamín_Vargas</t>
  </si>
  <si>
    <t>easy</t>
  </si>
  <si>
    <t>2026-01-20</t>
  </si>
  <si>
    <t>AUX928046</t>
  </si>
  <si>
    <t>2026-03-09</t>
  </si>
  <si>
    <t>RET326766</t>
  </si>
  <si>
    <t>H&amp;M</t>
  </si>
  <si>
    <t>AmericanExpress</t>
  </si>
  <si>
    <t>2026-01-09</t>
  </si>
  <si>
    <t>AUX285424</t>
  </si>
  <si>
    <t>2026-02-19</t>
  </si>
  <si>
    <t>AUX734163</t>
  </si>
  <si>
    <t>2026-04-29</t>
  </si>
  <si>
    <t>AUX226011</t>
  </si>
  <si>
    <t>2026-01-23</t>
  </si>
  <si>
    <t>AUX220893</t>
  </si>
  <si>
    <t>Débito</t>
  </si>
  <si>
    <t>2026-02-17</t>
  </si>
  <si>
    <t>AUX919448</t>
  </si>
  <si>
    <t>Tomás_Guzmán</t>
  </si>
  <si>
    <t>2026-03-05</t>
  </si>
  <si>
    <t>AUX532259</t>
  </si>
  <si>
    <t>Elaina_Giles</t>
  </si>
  <si>
    <t>AUX968503</t>
  </si>
  <si>
    <t>RET407635</t>
  </si>
  <si>
    <t>Sta. Isabel</t>
  </si>
  <si>
    <t>RET905765</t>
  </si>
  <si>
    <t>JUMBO</t>
  </si>
  <si>
    <t>2026-02-23</t>
  </si>
  <si>
    <t>AUX730025</t>
  </si>
  <si>
    <t>2026-02-12</t>
  </si>
  <si>
    <t>RET406849</t>
  </si>
  <si>
    <t>Mila_Rivers</t>
  </si>
  <si>
    <t>2026-01-14</t>
  </si>
  <si>
    <t>AUX557706</t>
  </si>
  <si>
    <t>2026-01-30</t>
  </si>
  <si>
    <t>AUX440667</t>
  </si>
  <si>
    <t>2026-01-10</t>
  </si>
  <si>
    <t>RET203433</t>
  </si>
  <si>
    <t>AUX509489</t>
  </si>
  <si>
    <t>Florencia_Matte</t>
  </si>
  <si>
    <t>2026-02-06</t>
  </si>
  <si>
    <t>AUX579666</t>
  </si>
  <si>
    <t>RET855444</t>
  </si>
  <si>
    <t>2026-03-29</t>
  </si>
  <si>
    <t>AUX570780</t>
  </si>
  <si>
    <t>2026-04-03</t>
  </si>
  <si>
    <t>AUX380149</t>
  </si>
  <si>
    <t>2026-04-19</t>
  </si>
  <si>
    <t>RET131689</t>
  </si>
  <si>
    <t>Santa Isabel</t>
  </si>
  <si>
    <t>RET723896</t>
  </si>
  <si>
    <t>2026-02-22</t>
  </si>
  <si>
    <t>RET572471</t>
  </si>
  <si>
    <t>AUX204262</t>
  </si>
  <si>
    <t>2026-03-19</t>
  </si>
  <si>
    <t>RET818281</t>
  </si>
  <si>
    <t>Ripley</t>
  </si>
  <si>
    <t>2026-04-10</t>
  </si>
  <si>
    <t>AUX731254</t>
  </si>
  <si>
    <t>AUX703193</t>
  </si>
  <si>
    <t>RET595581</t>
  </si>
  <si>
    <t>2026-01-24</t>
  </si>
  <si>
    <t>AUX478060</t>
  </si>
  <si>
    <t>2026-04-27</t>
  </si>
  <si>
    <t>AUX325252</t>
  </si>
  <si>
    <t>Mateo_Fuenzalida</t>
  </si>
  <si>
    <t>2026-03-02</t>
  </si>
  <si>
    <t>RET233679</t>
  </si>
  <si>
    <t>RET334572</t>
  </si>
  <si>
    <t>2026-04-28</t>
  </si>
  <si>
    <t>AUX699803</t>
  </si>
  <si>
    <t>RET801394</t>
  </si>
  <si>
    <t>2026-02-03</t>
  </si>
  <si>
    <t>RET919625</t>
  </si>
  <si>
    <t>Cole_Bray</t>
  </si>
  <si>
    <t>Mall Plaza Egana</t>
  </si>
  <si>
    <t>AUX491041</t>
  </si>
  <si>
    <t>2026-01-04</t>
  </si>
  <si>
    <t>AUX938426</t>
  </si>
  <si>
    <t>2026-03-21</t>
  </si>
  <si>
    <t>RET652274</t>
  </si>
  <si>
    <t>AUX145994</t>
  </si>
  <si>
    <t>RET600998</t>
  </si>
  <si>
    <t>2026-02-24</t>
  </si>
  <si>
    <t>RET645273</t>
  </si>
  <si>
    <t>2026-02-07</t>
  </si>
  <si>
    <t>RET474170</t>
  </si>
  <si>
    <t>2026-03-31</t>
  </si>
  <si>
    <t>AUX879625</t>
  </si>
  <si>
    <t>2026-04-09</t>
  </si>
  <si>
    <t>RET849350</t>
  </si>
  <si>
    <t>2026-03-06</t>
  </si>
  <si>
    <t>RET337050</t>
  </si>
  <si>
    <t>2026-04-13</t>
  </si>
  <si>
    <t>RET269424</t>
  </si>
  <si>
    <t>AUX902554</t>
  </si>
  <si>
    <t>2026-03-01</t>
  </si>
  <si>
    <t>AUX100621</t>
  </si>
  <si>
    <t>2026-04-04</t>
  </si>
  <si>
    <t>AUX702632</t>
  </si>
  <si>
    <t>AUX321382</t>
  </si>
  <si>
    <t>RET729237</t>
  </si>
  <si>
    <t>Valentina_Soto</t>
  </si>
  <si>
    <t>debito</t>
  </si>
  <si>
    <t>2026-01-17</t>
  </si>
  <si>
    <t>RET378540</t>
  </si>
  <si>
    <t>AUX439386</t>
  </si>
  <si>
    <t>2026-04-12</t>
  </si>
  <si>
    <t>AUX895391</t>
  </si>
  <si>
    <t>AUX603259</t>
  </si>
  <si>
    <t>RET468624</t>
  </si>
  <si>
    <t>2026-04-14</t>
  </si>
  <si>
    <t>AUX843673</t>
  </si>
  <si>
    <t>AUX317198</t>
  </si>
  <si>
    <t>2026-04-17</t>
  </si>
  <si>
    <t>RET878132</t>
  </si>
  <si>
    <t>RET777246</t>
  </si>
  <si>
    <t>2026-02-08</t>
  </si>
  <si>
    <t>RET770530</t>
  </si>
  <si>
    <t>AUX423723</t>
  </si>
  <si>
    <t>AUX758526</t>
  </si>
  <si>
    <t>AUX426793</t>
  </si>
  <si>
    <t>RET330121</t>
  </si>
  <si>
    <t>2026-03-24</t>
  </si>
  <si>
    <t>AUX516790</t>
  </si>
  <si>
    <t>RET137502</t>
  </si>
  <si>
    <t>RET935645</t>
  </si>
  <si>
    <t>2026-01-18</t>
  </si>
  <si>
    <t>AUX630060</t>
  </si>
  <si>
    <t>AUX482029</t>
  </si>
  <si>
    <t>AUX780635</t>
  </si>
  <si>
    <t>2026-01-03</t>
  </si>
  <si>
    <t>AUX483972</t>
  </si>
  <si>
    <t>RET517643</t>
  </si>
  <si>
    <t>AUX785061</t>
  </si>
  <si>
    <t>AUX825078</t>
  </si>
  <si>
    <t>2026-01-06</t>
  </si>
  <si>
    <t>AUX264611</t>
  </si>
  <si>
    <t>2026-03-22</t>
  </si>
  <si>
    <t>RET571972</t>
  </si>
  <si>
    <t>RET442610</t>
  </si>
  <si>
    <t>2026-03-13</t>
  </si>
  <si>
    <t>AUX942203</t>
  </si>
  <si>
    <t>2026-01-02</t>
  </si>
  <si>
    <t>RET312727</t>
  </si>
  <si>
    <t>2026-03-23</t>
  </si>
  <si>
    <t>AUX717818</t>
  </si>
  <si>
    <t>2026-01-16</t>
  </si>
  <si>
    <t>RET885589</t>
  </si>
  <si>
    <t>RET424371</t>
  </si>
  <si>
    <t>2026-01-19</t>
  </si>
  <si>
    <t>RET124605</t>
  </si>
  <si>
    <t>RET841580</t>
  </si>
  <si>
    <t>RET969756</t>
  </si>
  <si>
    <t>Sodimac</t>
  </si>
  <si>
    <t>AUX447024</t>
  </si>
  <si>
    <t>RET729267</t>
  </si>
  <si>
    <t>2026-01-31</t>
  </si>
  <si>
    <t>AUX689589</t>
  </si>
  <si>
    <t>2026-02-27</t>
  </si>
  <si>
    <t>RET337615</t>
  </si>
  <si>
    <t>AUX145524</t>
  </si>
  <si>
    <t>RET398548</t>
  </si>
  <si>
    <t>AUX919478</t>
  </si>
  <si>
    <t>RET550421</t>
  </si>
  <si>
    <t>AUX110243</t>
  </si>
  <si>
    <t>2026-03-28</t>
  </si>
  <si>
    <t>RET424135</t>
  </si>
  <si>
    <t>RET167619</t>
  </si>
  <si>
    <t>2026-03-08</t>
  </si>
  <si>
    <t>AUX688160</t>
  </si>
  <si>
    <t>AUX674299</t>
  </si>
  <si>
    <t>2026-04-24</t>
  </si>
  <si>
    <t>AUX109729</t>
  </si>
  <si>
    <t>RET335212</t>
  </si>
  <si>
    <t>RET848432</t>
  </si>
  <si>
    <t>RET672900</t>
  </si>
  <si>
    <t>AUX253471</t>
  </si>
  <si>
    <t>AUX542838</t>
  </si>
  <si>
    <t>AUX377130</t>
  </si>
  <si>
    <t>2026-02-04</t>
  </si>
  <si>
    <t>RET730178</t>
  </si>
  <si>
    <t>RET291629</t>
  </si>
  <si>
    <t>2026-02-11</t>
  </si>
  <si>
    <t>AUX330946</t>
  </si>
  <si>
    <t>AUX196218</t>
  </si>
  <si>
    <t>RET555498</t>
  </si>
  <si>
    <t>RET130697</t>
  </si>
  <si>
    <t>AUX255087</t>
  </si>
  <si>
    <t>RET735913</t>
  </si>
  <si>
    <t>AUX357497</t>
  </si>
  <si>
    <t>2026-02-26</t>
  </si>
  <si>
    <t>AUX602884</t>
  </si>
  <si>
    <t>AUX111460</t>
  </si>
  <si>
    <t>AUX547424</t>
  </si>
  <si>
    <t>2026-01-11</t>
  </si>
  <si>
    <t>AUX193787</t>
  </si>
  <si>
    <t>RET775250</t>
  </si>
  <si>
    <t>AUX232626</t>
  </si>
  <si>
    <t>AUX476893</t>
  </si>
  <si>
    <t>AUX846589</t>
  </si>
  <si>
    <t>RET692762</t>
  </si>
  <si>
    <t>2026-04-18</t>
  </si>
  <si>
    <t>AUX977675</t>
  </si>
  <si>
    <t>AUX962230</t>
  </si>
  <si>
    <t>AUX319713</t>
  </si>
  <si>
    <t>AUX349009</t>
  </si>
  <si>
    <t>AUX685648</t>
  </si>
  <si>
    <t>RET636009</t>
  </si>
  <si>
    <t>AUX970126</t>
  </si>
  <si>
    <t>Matías_Lira</t>
  </si>
  <si>
    <t>RET576907</t>
  </si>
  <si>
    <t>AUX338816</t>
  </si>
  <si>
    <t>AUX337558</t>
  </si>
  <si>
    <t>2026-04-08</t>
  </si>
  <si>
    <t>RET374217</t>
  </si>
  <si>
    <t>2026-04-16</t>
  </si>
  <si>
    <t>AUX806667</t>
  </si>
  <si>
    <t>2026-02-09</t>
  </si>
  <si>
    <t>RET532832</t>
  </si>
  <si>
    <t>RET740939</t>
  </si>
  <si>
    <t>RET383047</t>
  </si>
  <si>
    <t>RET460176</t>
  </si>
  <si>
    <t>RET235620</t>
  </si>
  <si>
    <t>2026-03-04</t>
  </si>
  <si>
    <t>AUX550703</t>
  </si>
  <si>
    <t>2026-04-30</t>
  </si>
  <si>
    <t>RET476874</t>
  </si>
  <si>
    <t>RET488783</t>
  </si>
  <si>
    <t>AUX476584</t>
  </si>
  <si>
    <t>2026-04-22</t>
  </si>
  <si>
    <t>RET256669</t>
  </si>
  <si>
    <t>RET503810</t>
  </si>
  <si>
    <t>AUX274962</t>
  </si>
  <si>
    <t>AUX951115</t>
  </si>
  <si>
    <t>RET413429</t>
  </si>
  <si>
    <t>2026-05-01</t>
  </si>
  <si>
    <t>RET926040</t>
  </si>
  <si>
    <t>2026-02-14</t>
  </si>
  <si>
    <t>AUX180850</t>
  </si>
  <si>
    <t>RET856122</t>
  </si>
  <si>
    <t>AUX986159</t>
  </si>
  <si>
    <t>AUX751798</t>
  </si>
  <si>
    <t>2026-01-27</t>
  </si>
  <si>
    <t>AUX845987</t>
  </si>
  <si>
    <t>2026-03-14</t>
  </si>
  <si>
    <t>RET716379</t>
  </si>
  <si>
    <t>AUX893793</t>
  </si>
  <si>
    <t>AUX647383</t>
  </si>
  <si>
    <t>RET544677</t>
  </si>
  <si>
    <t>AUX229343</t>
  </si>
  <si>
    <t>AUX500036</t>
  </si>
  <si>
    <t>RET878893</t>
  </si>
  <si>
    <t>AUX771692</t>
  </si>
  <si>
    <t>AUX864977</t>
  </si>
  <si>
    <t>RET832634</t>
  </si>
  <si>
    <t>2026-02-28</t>
  </si>
  <si>
    <t>RET332382</t>
  </si>
  <si>
    <t>RET920831</t>
  </si>
  <si>
    <t>RET820332</t>
  </si>
  <si>
    <t>RET396097</t>
  </si>
  <si>
    <t>RET281725</t>
  </si>
  <si>
    <t>2026-03-25</t>
  </si>
  <si>
    <t>AUX683686</t>
  </si>
  <si>
    <t>RET948828</t>
  </si>
  <si>
    <t>RET644704</t>
  </si>
  <si>
    <t>RET391881</t>
  </si>
  <si>
    <t>RET804019</t>
  </si>
  <si>
    <t>AUX355553</t>
  </si>
  <si>
    <t>RET711761</t>
  </si>
  <si>
    <t>RET593254</t>
  </si>
  <si>
    <t>AUX703128</t>
  </si>
  <si>
    <t>RET854310</t>
  </si>
  <si>
    <t>AUX684784</t>
  </si>
  <si>
    <t>RET439492</t>
  </si>
  <si>
    <t>2026-03-17</t>
  </si>
  <si>
    <t>RET214568</t>
  </si>
  <si>
    <t>2026-04-07</t>
  </si>
  <si>
    <t>AUX176106</t>
  </si>
  <si>
    <t>RET254303</t>
  </si>
  <si>
    <t>AUX926313</t>
  </si>
  <si>
    <t>AUX557626</t>
  </si>
  <si>
    <t>2026-02-15</t>
  </si>
  <si>
    <t>AUX586888</t>
  </si>
  <si>
    <t>2026-04-20</t>
  </si>
  <si>
    <t>AUX318015</t>
  </si>
  <si>
    <t>AUX122014</t>
  </si>
  <si>
    <t>RET819236</t>
  </si>
  <si>
    <t>RET922392</t>
  </si>
  <si>
    <t>RET705589</t>
  </si>
  <si>
    <t>AUX511037</t>
  </si>
  <si>
    <t>RET374807</t>
  </si>
  <si>
    <t>AUX263231</t>
  </si>
  <si>
    <t>AUX812978</t>
  </si>
  <si>
    <t>AUX284698</t>
  </si>
  <si>
    <t>RET282141</t>
  </si>
  <si>
    <t>RET511282</t>
  </si>
  <si>
    <t>RET213030</t>
  </si>
  <si>
    <t>RET141173</t>
  </si>
  <si>
    <t>AUX200361</t>
  </si>
  <si>
    <t>AUX130533</t>
  </si>
  <si>
    <t>2026-01-15</t>
  </si>
  <si>
    <t>AUX310452</t>
  </si>
  <si>
    <t>RET239643</t>
  </si>
  <si>
    <t>AUX849972</t>
  </si>
  <si>
    <t>AUX862001</t>
  </si>
  <si>
    <t>RET350105</t>
  </si>
  <si>
    <t>RET616719</t>
  </si>
  <si>
    <t>RET735501</t>
  </si>
  <si>
    <t>RET997576</t>
  </si>
  <si>
    <t>RET923654</t>
  </si>
  <si>
    <t>AUX503175</t>
  </si>
  <si>
    <t>AUX901230</t>
  </si>
  <si>
    <t>RET218074</t>
  </si>
  <si>
    <t>RET204898</t>
  </si>
  <si>
    <t>RET475365</t>
  </si>
  <si>
    <t>AUX655417</t>
  </si>
  <si>
    <t>AUX998751</t>
  </si>
  <si>
    <t>AUX763077</t>
  </si>
  <si>
    <t>RET489583</t>
  </si>
  <si>
    <t>RET165743</t>
  </si>
  <si>
    <t>AUX934618</t>
  </si>
  <si>
    <t>RET939099</t>
  </si>
  <si>
    <t>RET674174</t>
  </si>
  <si>
    <t>RET939407</t>
  </si>
  <si>
    <t>AUX546531</t>
  </si>
  <si>
    <t>AUX172833</t>
  </si>
  <si>
    <t>RET164700</t>
  </si>
  <si>
    <t>AUX217779</t>
  </si>
  <si>
    <t>2026-01-01</t>
  </si>
  <si>
    <t>AUX322061</t>
  </si>
  <si>
    <t>AUX125996</t>
  </si>
  <si>
    <t>AUX679886</t>
  </si>
  <si>
    <t>RET185436</t>
  </si>
  <si>
    <t>RET270569</t>
  </si>
  <si>
    <t>AUX284845</t>
  </si>
  <si>
    <t>AUX705457</t>
  </si>
  <si>
    <t>AUX473034</t>
  </si>
  <si>
    <t>RET474340</t>
  </si>
  <si>
    <t>RET889390</t>
  </si>
  <si>
    <t>AUX173865</t>
  </si>
  <si>
    <t>2026-01-22</t>
  </si>
  <si>
    <t>RET595068</t>
  </si>
  <si>
    <t>RET863954</t>
  </si>
  <si>
    <t>RET568085</t>
  </si>
  <si>
    <t>AUX588823</t>
  </si>
  <si>
    <t>AUX779338</t>
  </si>
  <si>
    <t>RET830732</t>
  </si>
  <si>
    <t>RET546350</t>
  </si>
  <si>
    <t>RET499358</t>
  </si>
  <si>
    <t>RET394980</t>
  </si>
  <si>
    <t>AUX637983</t>
  </si>
  <si>
    <t>RET106139</t>
  </si>
  <si>
    <t>RET234776</t>
  </si>
  <si>
    <t>AUX718929</t>
  </si>
  <si>
    <t>AUX595697</t>
  </si>
  <si>
    <t>RET369465</t>
  </si>
  <si>
    <t>RET907237</t>
  </si>
  <si>
    <t>RET302537</t>
  </si>
  <si>
    <t>2026-03-10</t>
  </si>
  <si>
    <t>AUX542847</t>
  </si>
  <si>
    <t>2026-01-25</t>
  </si>
  <si>
    <t>RET600984</t>
  </si>
  <si>
    <t>Row Labels</t>
  </si>
  <si>
    <t>(blank)</t>
  </si>
  <si>
    <t>Grand Total</t>
  </si>
  <si>
    <t>Count of Local</t>
  </si>
  <si>
    <t>Count of Mall</t>
  </si>
  <si>
    <t>Count of Pago</t>
  </si>
  <si>
    <t>Nombre</t>
  </si>
  <si>
    <t>Apellido</t>
  </si>
  <si>
    <t>Local2</t>
  </si>
  <si>
    <t>Mall2</t>
  </si>
  <si>
    <t>Pago2</t>
  </si>
  <si>
    <t>CostaneraCenter</t>
  </si>
  <si>
    <t>MallAltoLasCondes</t>
  </si>
  <si>
    <t>MallParqueArauco</t>
  </si>
  <si>
    <t>MallPlazaEgana</t>
  </si>
  <si>
    <t>MallPlazaVespucio</t>
  </si>
  <si>
    <t>ParqueArauco</t>
  </si>
  <si>
    <t>MallFinal</t>
  </si>
  <si>
    <t>MasterCard</t>
  </si>
  <si>
    <t>PagoFinal</t>
  </si>
  <si>
    <t>Column Labels</t>
  </si>
  <si>
    <t>Count of PagoFinal</t>
  </si>
  <si>
    <t>Let_Cod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</si>
</sst>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aavedra Morales" refreshedDate="46146.832117361111" createdVersion="8" refreshedVersion="8" minRefreshableVersion="3" recordCount="301" xr:uid="{2ACE5103-8FF8-5D4F-B7D2-09C7434EDB64}">
  <cacheSource type="worksheet">
    <worksheetSource ref="A1:H1048576" sheet="Datos"/>
  </cacheSource>
  <cacheFields count="6">
    <cacheField name="Nombre_Apellido" numFmtId="0">
      <sharedItems containsBlank="1"/>
    </cacheField>
    <cacheField name="Local" numFmtId="0">
      <sharedItems containsBlank="1" count="18">
        <s v="Zara"/>
        <s v="falabella"/>
        <s v="Jumbo "/>
        <s v="EASY"/>
        <s v="Easy "/>
        <s v="París"/>
        <s v="H &amp; M"/>
        <s v="Jumbo"/>
        <s v="Santa isabel"/>
        <s v="ripley"/>
        <s v="PARIS "/>
        <s v="Sodimac Homecenter"/>
        <s v="Paris"/>
        <s v="Santa Isabel "/>
        <s v="H&amp;M"/>
        <s v="Sta. Isabel"/>
        <s v="Sodimac"/>
        <m/>
      </sharedItems>
    </cacheField>
    <cacheField name="Mall" numFmtId="0">
      <sharedItems containsBlank="1" count="14">
        <s v="Mall Plaza Vespucio"/>
        <s v="Mall Plaza Egaña"/>
        <s v="Mall Plaza Vespucio "/>
        <s v="Mall Parque Arauco"/>
        <s v="Parque Arauco"/>
        <s v="Alto Las Condes"/>
        <s v="MallPlaza Vespucio"/>
        <s v="cenco mall costanera"/>
        <s v="MallPlaza Egaña"/>
        <s v="Costanera Center "/>
        <s v="Costanera Center"/>
        <s v="Mall Alto Las Condes"/>
        <s v="Mall Plaza Egana"/>
        <m/>
      </sharedItems>
    </cacheField>
    <cacheField name="Pago" numFmtId="0">
      <sharedItems containsBlank="1" count="12">
        <s v="efectivo"/>
        <s v="MASTER CARD"/>
        <s v="visa"/>
        <s v="American express"/>
        <s v="Master Card "/>
        <s v="Mastercard"/>
        <s v="Visa "/>
        <s v="Debito"/>
        <s v="efectivo "/>
        <s v="AmericanExpress"/>
        <s v="Débito"/>
        <m/>
      </sharedItems>
    </cacheField>
    <cacheField name="Fecha" numFmtId="0">
      <sharedItems containsBlank="1"/>
    </cacheField>
    <cacheField name="Códig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aavedra Morales" refreshedDate="46146.846380439812" createdVersion="8" refreshedVersion="8" minRefreshableVersion="3" recordCount="301" xr:uid="{0D76D6E0-1AD1-DC4E-B735-E7409A748BE4}">
  <cacheSource type="worksheet">
    <worksheetSource ref="L1:M1048576" sheet="Datos"/>
  </cacheSource>
  <cacheFields count="2">
    <cacheField name="MallFinal" numFmtId="0">
      <sharedItems containsBlank="1" count="7">
        <s v="MallPlazaVespucio"/>
        <s v="MallPlazaEgana"/>
        <s v="MallParqueArauco"/>
        <s v="ParqueArauco"/>
        <s v="MallAltoLasCondes"/>
        <s v="CostaneraCenter"/>
        <m/>
      </sharedItems>
    </cacheField>
    <cacheField name="PagoFinal" numFmtId="0">
      <sharedItems containsBlank="1" count="6">
        <s v="Efectivo"/>
        <s v="MasterCard"/>
        <s v="Visa"/>
        <s v="AmericanExpress"/>
        <s v="Debit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Kobe_Higgins"/>
    <x v="0"/>
    <x v="0"/>
    <x v="0"/>
    <s v="2026-04-05"/>
    <s v="RET218658"/>
  </r>
  <r>
    <s v="Antonia_Prieto"/>
    <x v="1"/>
    <x v="1"/>
    <x v="1"/>
    <s v="2026-02-10"/>
    <s v="RET734498"/>
  </r>
  <r>
    <s v="Xander_Knight"/>
    <x v="1"/>
    <x v="2"/>
    <x v="2"/>
    <s v="2026-02-25"/>
    <s v="RET169557"/>
  </r>
  <r>
    <s v="Dante_Morrow"/>
    <x v="1"/>
    <x v="3"/>
    <x v="3"/>
    <s v="2026-01-07"/>
    <s v="AUX733408"/>
  </r>
  <r>
    <s v="Lucas_Echeverría"/>
    <x v="2"/>
    <x v="4"/>
    <x v="3"/>
    <s v="2026-02-01"/>
    <s v="RET460858"/>
  </r>
  <r>
    <s v="Thaddeus_Vance"/>
    <x v="3"/>
    <x v="0"/>
    <x v="4"/>
    <s v="2026-04-11"/>
    <s v="RET719495"/>
  </r>
  <r>
    <s v="Lucas_Echeverría"/>
    <x v="1"/>
    <x v="2"/>
    <x v="3"/>
    <s v="2026-01-08"/>
    <s v="AUX704845"/>
  </r>
  <r>
    <s v="Isidora_Pinto"/>
    <x v="0"/>
    <x v="5"/>
    <x v="5"/>
    <s v="2026-04-25"/>
    <s v="AUX349261"/>
  </r>
  <r>
    <s v="Kobe_Higgins"/>
    <x v="4"/>
    <x v="5"/>
    <x v="5"/>
    <s v="2026-01-28"/>
    <s v="RET710017"/>
  </r>
  <r>
    <s v="Talia_Cuevas"/>
    <x v="3"/>
    <x v="6"/>
    <x v="6"/>
    <s v="2026-03-16"/>
    <s v="AUX574237"/>
  </r>
  <r>
    <s v="Nicolás_Olea"/>
    <x v="5"/>
    <x v="5"/>
    <x v="0"/>
    <s v="2026-02-25"/>
    <s v="AUX228069"/>
  </r>
  <r>
    <s v="Nicolás_Olea"/>
    <x v="0"/>
    <x v="5"/>
    <x v="7"/>
    <s v="2026-01-05"/>
    <s v="RET328460"/>
  </r>
  <r>
    <s v="Nicolás_Olea"/>
    <x v="6"/>
    <x v="5"/>
    <x v="3"/>
    <s v="2026-03-30"/>
    <s v="AUX506882"/>
  </r>
  <r>
    <s v="Priscilia_Welch"/>
    <x v="4"/>
    <x v="7"/>
    <x v="7"/>
    <s v="2026-04-15"/>
    <s v="RET157434"/>
  </r>
  <r>
    <s v="Liora_Pace"/>
    <x v="7"/>
    <x v="2"/>
    <x v="6"/>
    <s v="2026-02-05"/>
    <s v="AUX658510"/>
  </r>
  <r>
    <s v="Kobe_Higgins"/>
    <x v="7"/>
    <x v="7"/>
    <x v="7"/>
    <s v="2026-04-23"/>
    <s v="RET286320"/>
  </r>
  <r>
    <s v="Dante_Morrow"/>
    <x v="8"/>
    <x v="4"/>
    <x v="7"/>
    <s v="2026-02-18"/>
    <s v="RET806496"/>
  </r>
  <r>
    <s v="Thaddeus_Vance"/>
    <x v="9"/>
    <x v="8"/>
    <x v="7"/>
    <s v="2026-04-06"/>
    <s v="RET455239"/>
  </r>
  <r>
    <s v="Thaddeus_Vance"/>
    <x v="3"/>
    <x v="7"/>
    <x v="2"/>
    <s v="2026-04-15"/>
    <s v="AUX991001"/>
  </r>
  <r>
    <s v="Seraphina_Moon"/>
    <x v="10"/>
    <x v="9"/>
    <x v="8"/>
    <s v="2026-02-13"/>
    <s v="RET145641"/>
  </r>
  <r>
    <s v="Javiera_Lorca"/>
    <x v="11"/>
    <x v="2"/>
    <x v="4"/>
    <s v="2026-01-28"/>
    <s v="AUX211209"/>
  </r>
  <r>
    <s v="Sienna_Frost"/>
    <x v="7"/>
    <x v="4"/>
    <x v="4"/>
    <s v="2026-02-05"/>
    <s v="RET160029"/>
  </r>
  <r>
    <s v="Beckett_Chase"/>
    <x v="2"/>
    <x v="7"/>
    <x v="5"/>
    <s v="2026-03-30"/>
    <s v="RET438782"/>
  </r>
  <r>
    <s v="Thaddeus_Vance"/>
    <x v="12"/>
    <x v="1"/>
    <x v="1"/>
    <s v="2026-01-21"/>
    <s v="RET276401"/>
  </r>
  <r>
    <s v="Camila_Errázuriz"/>
    <x v="11"/>
    <x v="7"/>
    <x v="3"/>
    <s v="2026-04-01"/>
    <s v="RET589114"/>
  </r>
  <r>
    <s v="Martina_Salinas"/>
    <x v="3"/>
    <x v="7"/>
    <x v="0"/>
    <s v="2026-02-21"/>
    <s v="AUX349142"/>
  </r>
  <r>
    <s v="Talia_Cuevas"/>
    <x v="6"/>
    <x v="3"/>
    <x v="5"/>
    <s v="2026-02-13"/>
    <s v="RET615608"/>
  </r>
  <r>
    <s v="Sienna_Frost"/>
    <x v="7"/>
    <x v="1"/>
    <x v="0"/>
    <s v="2026-04-02"/>
    <s v="AUX364625"/>
  </r>
  <r>
    <s v="Joaquín_Zañartu"/>
    <x v="0"/>
    <x v="5"/>
    <x v="2"/>
    <s v="2026-03-12"/>
    <s v="RET548468"/>
  </r>
  <r>
    <s v="Dante_Morrow"/>
    <x v="7"/>
    <x v="5"/>
    <x v="5"/>
    <s v="2026-03-20"/>
    <s v="RET534617"/>
  </r>
  <r>
    <s v="Antonia_Prieto"/>
    <x v="12"/>
    <x v="10"/>
    <x v="7"/>
    <s v="2026-03-11"/>
    <s v="AUX662515"/>
  </r>
  <r>
    <s v="Ignacio_Reyes"/>
    <x v="9"/>
    <x v="11"/>
    <x v="1"/>
    <s v="2026-03-18"/>
    <s v="AUX360787"/>
  </r>
  <r>
    <s v="Seraphina_Moon"/>
    <x v="13"/>
    <x v="10"/>
    <x v="1"/>
    <s v="2026-04-02"/>
    <s v="AUX732737"/>
  </r>
  <r>
    <s v="Javiera_Lorca"/>
    <x v="13"/>
    <x v="6"/>
    <x v="2"/>
    <s v="2026-04-21"/>
    <s v="RET855723"/>
  </r>
  <r>
    <s v="Talia_Cuevas"/>
    <x v="0"/>
    <x v="1"/>
    <x v="3"/>
    <s v="2026-01-13"/>
    <s v="AUX118078"/>
  </r>
  <r>
    <s v="Javiera_Lorca"/>
    <x v="9"/>
    <x v="4"/>
    <x v="1"/>
    <s v="2026-03-11"/>
    <s v="RET310786"/>
  </r>
  <r>
    <s v="Beckett_Chase"/>
    <x v="9"/>
    <x v="7"/>
    <x v="3"/>
    <s v="2026-03-07"/>
    <s v="AUX122999"/>
  </r>
  <r>
    <s v="Benjamín_Vargas"/>
    <x v="3"/>
    <x v="5"/>
    <x v="7"/>
    <s v="2026-01-20"/>
    <s v="AUX928046"/>
  </r>
  <r>
    <s v="Talia_Cuevas"/>
    <x v="3"/>
    <x v="2"/>
    <x v="7"/>
    <s v="2026-03-09"/>
    <s v="RET326766"/>
  </r>
  <r>
    <s v="Martina_Salinas"/>
    <x v="14"/>
    <x v="7"/>
    <x v="9"/>
    <s v="2026-01-09"/>
    <s v="AUX285424"/>
  </r>
  <r>
    <s v="Javiera_Lorca"/>
    <x v="2"/>
    <x v="5"/>
    <x v="1"/>
    <s v="2026-02-19"/>
    <s v="AUX734163"/>
  </r>
  <r>
    <s v="Antonia_Prieto"/>
    <x v="3"/>
    <x v="3"/>
    <x v="3"/>
    <s v="2026-04-29"/>
    <s v="AUX226011"/>
  </r>
  <r>
    <s v="Isidora_Pinto"/>
    <x v="3"/>
    <x v="4"/>
    <x v="2"/>
    <s v="2026-01-23"/>
    <s v="AUX220893"/>
  </r>
  <r>
    <s v="Ignacio_Reyes"/>
    <x v="6"/>
    <x v="4"/>
    <x v="10"/>
    <s v="2026-02-17"/>
    <s v="AUX919448"/>
  </r>
  <r>
    <s v="Tomás_Guzmán"/>
    <x v="2"/>
    <x v="9"/>
    <x v="4"/>
    <s v="2026-03-05"/>
    <s v="AUX532259"/>
  </r>
  <r>
    <s v="Elaina_Giles"/>
    <x v="6"/>
    <x v="4"/>
    <x v="3"/>
    <s v="2026-02-01"/>
    <s v="AUX968503"/>
  </r>
  <r>
    <s v="Tomás_Guzmán"/>
    <x v="1"/>
    <x v="5"/>
    <x v="3"/>
    <s v="2026-02-18"/>
    <s v="RET407635"/>
  </r>
  <r>
    <s v="Martina_Salinas"/>
    <x v="15"/>
    <x v="9"/>
    <x v="2"/>
    <s v="2026-04-06"/>
    <s v="RET905765"/>
  </r>
  <r>
    <s v="Priscilia_Welch"/>
    <x v="7"/>
    <x v="4"/>
    <x v="5"/>
    <s v="2026-02-23"/>
    <s v="AUX730025"/>
  </r>
  <r>
    <s v="Antonia_Prieto"/>
    <x v="12"/>
    <x v="1"/>
    <x v="2"/>
    <s v="2026-02-12"/>
    <s v="RET406849"/>
  </r>
  <r>
    <s v="Mila_Rivers"/>
    <x v="6"/>
    <x v="6"/>
    <x v="8"/>
    <s v="2026-01-14"/>
    <s v="AUX557706"/>
  </r>
  <r>
    <s v="Beckett_Chase"/>
    <x v="8"/>
    <x v="10"/>
    <x v="8"/>
    <s v="2026-01-30"/>
    <s v="AUX440667"/>
  </r>
  <r>
    <s v="Martina_Salinas"/>
    <x v="1"/>
    <x v="4"/>
    <x v="5"/>
    <s v="2026-01-10"/>
    <s v="RET203433"/>
  </r>
  <r>
    <s v="Camila_Errázuriz"/>
    <x v="6"/>
    <x v="4"/>
    <x v="7"/>
    <s v="2026-04-15"/>
    <s v="AUX509489"/>
  </r>
  <r>
    <s v="Florencia_Matte"/>
    <x v="15"/>
    <x v="7"/>
    <x v="2"/>
    <s v="2026-02-06"/>
    <s v="AUX579666"/>
  </r>
  <r>
    <s v="Antonia_Prieto"/>
    <x v="6"/>
    <x v="7"/>
    <x v="4"/>
    <s v="2026-02-06"/>
    <s v="RET855444"/>
  </r>
  <r>
    <s v="Priscilia_Welch"/>
    <x v="9"/>
    <x v="4"/>
    <x v="1"/>
    <s v="2026-03-29"/>
    <s v="AUX570780"/>
  </r>
  <r>
    <s v="Kobe_Higgins"/>
    <x v="3"/>
    <x v="9"/>
    <x v="1"/>
    <s v="2026-04-03"/>
    <s v="AUX380149"/>
  </r>
  <r>
    <s v="Tomás_Guzmán"/>
    <x v="0"/>
    <x v="9"/>
    <x v="4"/>
    <s v="2026-04-19"/>
    <s v="RET131689"/>
  </r>
  <r>
    <s v="Camila_Errázuriz"/>
    <x v="8"/>
    <x v="0"/>
    <x v="6"/>
    <s v="2026-02-17"/>
    <s v="RET723896"/>
  </r>
  <r>
    <s v="Kobe_Higgins"/>
    <x v="12"/>
    <x v="3"/>
    <x v="7"/>
    <s v="2026-02-22"/>
    <s v="RET572471"/>
  </r>
  <r>
    <s v="Talia_Cuevas"/>
    <x v="5"/>
    <x v="8"/>
    <x v="0"/>
    <s v="2026-02-01"/>
    <s v="AUX204262"/>
  </r>
  <r>
    <s v="Camila_Errázuriz"/>
    <x v="14"/>
    <x v="10"/>
    <x v="8"/>
    <s v="2026-03-19"/>
    <s v="RET818281"/>
  </r>
  <r>
    <s v="Beckett_Chase"/>
    <x v="9"/>
    <x v="5"/>
    <x v="3"/>
    <s v="2026-04-10"/>
    <s v="AUX731254"/>
  </r>
  <r>
    <s v="Camila_Errázuriz"/>
    <x v="9"/>
    <x v="5"/>
    <x v="2"/>
    <s v="2026-01-23"/>
    <s v="AUX703193"/>
  </r>
  <r>
    <s v="Javiera_Lorca"/>
    <x v="1"/>
    <x v="3"/>
    <x v="10"/>
    <s v="2026-04-29"/>
    <s v="RET595581"/>
  </r>
  <r>
    <s v="Beckett_Chase"/>
    <x v="1"/>
    <x v="9"/>
    <x v="8"/>
    <s v="2026-01-24"/>
    <s v="AUX478060"/>
  </r>
  <r>
    <s v="Lucas_Echeverría"/>
    <x v="1"/>
    <x v="3"/>
    <x v="1"/>
    <s v="2026-04-27"/>
    <s v="AUX325252"/>
  </r>
  <r>
    <s v="Mateo_Fuenzalida"/>
    <x v="9"/>
    <x v="7"/>
    <x v="3"/>
    <s v="2026-03-02"/>
    <s v="RET233679"/>
  </r>
  <r>
    <s v="Mateo_Fuenzalida"/>
    <x v="9"/>
    <x v="6"/>
    <x v="3"/>
    <s v="2026-01-23"/>
    <s v="RET334572"/>
  </r>
  <r>
    <s v="Priscilia_Welch"/>
    <x v="1"/>
    <x v="8"/>
    <x v="3"/>
    <s v="2026-04-28"/>
    <s v="AUX699803"/>
  </r>
  <r>
    <s v="Florencia_Matte"/>
    <x v="9"/>
    <x v="10"/>
    <x v="10"/>
    <s v="2026-04-02"/>
    <s v="RET801394"/>
  </r>
  <r>
    <s v="Lucas_Echeverría"/>
    <x v="7"/>
    <x v="7"/>
    <x v="3"/>
    <s v="2026-02-03"/>
    <s v="RET919625"/>
  </r>
  <r>
    <s v="Cole_Bray"/>
    <x v="7"/>
    <x v="12"/>
    <x v="3"/>
    <s v="2026-01-30"/>
    <s v="AUX491041"/>
  </r>
  <r>
    <s v="Camila_Errázuriz"/>
    <x v="7"/>
    <x v="6"/>
    <x v="10"/>
    <s v="2026-01-04"/>
    <s v="AUX938426"/>
  </r>
  <r>
    <s v="Martina_Salinas"/>
    <x v="15"/>
    <x v="7"/>
    <x v="2"/>
    <s v="2026-03-21"/>
    <s v="RET652274"/>
  </r>
  <r>
    <s v="Elaina_Giles"/>
    <x v="9"/>
    <x v="9"/>
    <x v="3"/>
    <s v="2026-01-30"/>
    <s v="AUX145994"/>
  </r>
  <r>
    <s v="Mateo_Fuenzalida"/>
    <x v="15"/>
    <x v="7"/>
    <x v="6"/>
    <s v="2026-01-30"/>
    <s v="RET600998"/>
  </r>
  <r>
    <s v="Dante_Morrow"/>
    <x v="10"/>
    <x v="12"/>
    <x v="1"/>
    <s v="2026-02-24"/>
    <s v="RET645273"/>
  </r>
  <r>
    <s v="Liora_Pace"/>
    <x v="9"/>
    <x v="5"/>
    <x v="3"/>
    <s v="2026-02-07"/>
    <s v="RET474170"/>
  </r>
  <r>
    <s v="Lucas_Echeverría"/>
    <x v="1"/>
    <x v="3"/>
    <x v="2"/>
    <s v="2026-03-31"/>
    <s v="AUX879625"/>
  </r>
  <r>
    <s v="Mila_Rivers"/>
    <x v="1"/>
    <x v="3"/>
    <x v="2"/>
    <s v="2026-04-09"/>
    <s v="RET849350"/>
  </r>
  <r>
    <s v="Benjamín_Vargas"/>
    <x v="7"/>
    <x v="5"/>
    <x v="2"/>
    <s v="2026-03-06"/>
    <s v="RET337050"/>
  </r>
  <r>
    <s v="Mila_Rivers"/>
    <x v="4"/>
    <x v="3"/>
    <x v="5"/>
    <s v="2026-04-13"/>
    <s v="RET269424"/>
  </r>
  <r>
    <s v="Talia_Cuevas"/>
    <x v="9"/>
    <x v="4"/>
    <x v="3"/>
    <s v="2026-03-09"/>
    <s v="AUX902554"/>
  </r>
  <r>
    <s v="Camila_Errázuriz"/>
    <x v="9"/>
    <x v="7"/>
    <x v="1"/>
    <s v="2026-03-01"/>
    <s v="AUX100621"/>
  </r>
  <r>
    <s v="Dante_Morrow"/>
    <x v="4"/>
    <x v="8"/>
    <x v="4"/>
    <s v="2026-04-04"/>
    <s v="AUX702632"/>
  </r>
  <r>
    <s v="Javiera_Lorca"/>
    <x v="12"/>
    <x v="4"/>
    <x v="2"/>
    <s v="2026-01-21"/>
    <s v="AUX321382"/>
  </r>
  <r>
    <s v="Ignacio_Reyes"/>
    <x v="9"/>
    <x v="4"/>
    <x v="3"/>
    <s v="2026-01-08"/>
    <s v="RET729237"/>
  </r>
  <r>
    <s v="Valentina_Soto"/>
    <x v="6"/>
    <x v="10"/>
    <x v="7"/>
    <s v="2026-01-17"/>
    <s v="RET378540"/>
  </r>
  <r>
    <s v="Elaina_Giles"/>
    <x v="8"/>
    <x v="0"/>
    <x v="8"/>
    <s v="2026-04-29"/>
    <s v="AUX439386"/>
  </r>
  <r>
    <s v="Camila_Errázuriz"/>
    <x v="8"/>
    <x v="10"/>
    <x v="1"/>
    <s v="2026-04-12"/>
    <s v="AUX895391"/>
  </r>
  <r>
    <s v="Dante_Morrow"/>
    <x v="8"/>
    <x v="11"/>
    <x v="2"/>
    <s v="2026-03-30"/>
    <s v="AUX603259"/>
  </r>
  <r>
    <s v="Valentina_Soto"/>
    <x v="8"/>
    <x v="0"/>
    <x v="6"/>
    <s v="2026-01-14"/>
    <s v="RET468624"/>
  </r>
  <r>
    <s v="Lucas_Echeverría"/>
    <x v="15"/>
    <x v="7"/>
    <x v="4"/>
    <s v="2026-04-14"/>
    <s v="AUX843673"/>
  </r>
  <r>
    <s v="Ignacio_Reyes"/>
    <x v="3"/>
    <x v="11"/>
    <x v="9"/>
    <s v="2026-02-10"/>
    <s v="AUX317198"/>
  </r>
  <r>
    <s v="Isidora_Pinto"/>
    <x v="9"/>
    <x v="1"/>
    <x v="4"/>
    <s v="2026-04-17"/>
    <s v="RET878132"/>
  </r>
  <r>
    <s v="Isidora_Pinto"/>
    <x v="13"/>
    <x v="10"/>
    <x v="0"/>
    <s v="2026-03-21"/>
    <s v="RET777246"/>
  </r>
  <r>
    <s v="Beckett_Chase"/>
    <x v="8"/>
    <x v="1"/>
    <x v="1"/>
    <s v="2026-02-08"/>
    <s v="RET770530"/>
  </r>
  <r>
    <s v="Tomás_Guzmán"/>
    <x v="3"/>
    <x v="7"/>
    <x v="0"/>
    <s v="2026-01-20"/>
    <s v="AUX423723"/>
  </r>
  <r>
    <s v="Javiera_Lorca"/>
    <x v="7"/>
    <x v="12"/>
    <x v="10"/>
    <s v="2026-04-17"/>
    <s v="AUX758526"/>
  </r>
  <r>
    <s v="Elaina_Giles"/>
    <x v="10"/>
    <x v="1"/>
    <x v="3"/>
    <s v="2026-01-23"/>
    <s v="AUX426793"/>
  </r>
  <r>
    <s v="Xander_Knight"/>
    <x v="10"/>
    <x v="5"/>
    <x v="0"/>
    <s v="2026-01-10"/>
    <s v="RET330121"/>
  </r>
  <r>
    <s v="Cole_Bray"/>
    <x v="15"/>
    <x v="4"/>
    <x v="3"/>
    <s v="2026-03-24"/>
    <s v="AUX516790"/>
  </r>
  <r>
    <s v="Javiera_Lorca"/>
    <x v="7"/>
    <x v="7"/>
    <x v="2"/>
    <s v="2026-03-11"/>
    <s v="RET137502"/>
  </r>
  <r>
    <s v="Sienna_Frost"/>
    <x v="9"/>
    <x v="5"/>
    <x v="2"/>
    <s v="2026-01-09"/>
    <s v="RET935645"/>
  </r>
  <r>
    <s v="Joaquín_Zañartu"/>
    <x v="1"/>
    <x v="4"/>
    <x v="7"/>
    <s v="2026-01-18"/>
    <s v="AUX630060"/>
  </r>
  <r>
    <s v="Cole_Bray"/>
    <x v="10"/>
    <x v="4"/>
    <x v="3"/>
    <s v="2026-03-19"/>
    <s v="AUX482029"/>
  </r>
  <r>
    <s v="Tomás_Guzmán"/>
    <x v="1"/>
    <x v="5"/>
    <x v="7"/>
    <s v="2026-03-21"/>
    <s v="AUX780635"/>
  </r>
  <r>
    <s v="Liora_Pace"/>
    <x v="9"/>
    <x v="5"/>
    <x v="3"/>
    <s v="2026-01-03"/>
    <s v="AUX483972"/>
  </r>
  <r>
    <s v="Benjamín_Vargas"/>
    <x v="1"/>
    <x v="4"/>
    <x v="5"/>
    <s v="2026-04-11"/>
    <s v="RET517643"/>
  </r>
  <r>
    <s v="Sienna_Frost"/>
    <x v="1"/>
    <x v="1"/>
    <x v="4"/>
    <s v="2026-03-02"/>
    <s v="AUX785061"/>
  </r>
  <r>
    <s v="Priscilia_Welch"/>
    <x v="2"/>
    <x v="5"/>
    <x v="8"/>
    <s v="2026-02-07"/>
    <s v="AUX825078"/>
  </r>
  <r>
    <s v="Mateo_Fuenzalida"/>
    <x v="10"/>
    <x v="3"/>
    <x v="10"/>
    <s v="2026-01-06"/>
    <s v="AUX264611"/>
  </r>
  <r>
    <s v="Thaddeus_Vance"/>
    <x v="13"/>
    <x v="10"/>
    <x v="2"/>
    <s v="2026-03-22"/>
    <s v="RET571972"/>
  </r>
  <r>
    <s v="Cole_Bray"/>
    <x v="7"/>
    <x v="12"/>
    <x v="7"/>
    <s v="2026-02-03"/>
    <s v="RET442610"/>
  </r>
  <r>
    <s v="Ignacio_Reyes"/>
    <x v="13"/>
    <x v="5"/>
    <x v="7"/>
    <s v="2026-03-13"/>
    <s v="AUX942203"/>
  </r>
  <r>
    <s v="Martina_Salinas"/>
    <x v="7"/>
    <x v="10"/>
    <x v="2"/>
    <s v="2026-01-02"/>
    <s v="RET312727"/>
  </r>
  <r>
    <s v="Ignacio_Reyes"/>
    <x v="9"/>
    <x v="2"/>
    <x v="2"/>
    <s v="2026-03-23"/>
    <s v="AUX717818"/>
  </r>
  <r>
    <s v="Talia_Cuevas"/>
    <x v="12"/>
    <x v="0"/>
    <x v="9"/>
    <s v="2026-01-16"/>
    <s v="RET885589"/>
  </r>
  <r>
    <s v="Javiera_Lorca"/>
    <x v="10"/>
    <x v="12"/>
    <x v="10"/>
    <s v="2026-04-29"/>
    <s v="RET424371"/>
  </r>
  <r>
    <s v="Lucas_Echeverría"/>
    <x v="9"/>
    <x v="0"/>
    <x v="4"/>
    <s v="2026-01-19"/>
    <s v="RET124605"/>
  </r>
  <r>
    <s v="Martina_Salinas"/>
    <x v="7"/>
    <x v="11"/>
    <x v="1"/>
    <s v="2026-01-03"/>
    <s v="RET841580"/>
  </r>
  <r>
    <s v="Tomás_Guzmán"/>
    <x v="9"/>
    <x v="10"/>
    <x v="0"/>
    <s v="2026-03-19"/>
    <s v="RET969756"/>
  </r>
  <r>
    <s v="Sienna_Frost"/>
    <x v="16"/>
    <x v="6"/>
    <x v="7"/>
    <s v="2026-04-05"/>
    <s v="AUX447024"/>
  </r>
  <r>
    <s v="Tomás_Guzmán"/>
    <x v="12"/>
    <x v="0"/>
    <x v="1"/>
    <s v="2026-03-21"/>
    <s v="RET729267"/>
  </r>
  <r>
    <s v="Tomás_Guzmán"/>
    <x v="9"/>
    <x v="7"/>
    <x v="3"/>
    <s v="2026-01-31"/>
    <s v="AUX689589"/>
  </r>
  <r>
    <s v="Mila_Rivers"/>
    <x v="10"/>
    <x v="2"/>
    <x v="1"/>
    <s v="2026-02-27"/>
    <s v="RET337615"/>
  </r>
  <r>
    <s v="Camila_Errázuriz"/>
    <x v="1"/>
    <x v="4"/>
    <x v="0"/>
    <s v="2026-04-04"/>
    <s v="AUX145524"/>
  </r>
  <r>
    <s v="Sienna_Frost"/>
    <x v="9"/>
    <x v="1"/>
    <x v="2"/>
    <s v="2026-04-10"/>
    <s v="RET398548"/>
  </r>
  <r>
    <s v="Xander_Knight"/>
    <x v="6"/>
    <x v="6"/>
    <x v="2"/>
    <s v="2026-04-25"/>
    <s v="AUX919478"/>
  </r>
  <r>
    <s v="Valentina_Soto"/>
    <x v="9"/>
    <x v="5"/>
    <x v="10"/>
    <s v="2026-02-05"/>
    <s v="RET550421"/>
  </r>
  <r>
    <s v="Camila_Errázuriz"/>
    <x v="0"/>
    <x v="9"/>
    <x v="2"/>
    <s v="2026-02-17"/>
    <s v="AUX110243"/>
  </r>
  <r>
    <s v="Mateo_Fuenzalida"/>
    <x v="11"/>
    <x v="3"/>
    <x v="8"/>
    <s v="2026-03-28"/>
    <s v="RET424135"/>
  </r>
  <r>
    <s v="Florencia_Matte"/>
    <x v="12"/>
    <x v="10"/>
    <x v="1"/>
    <s v="2026-01-28"/>
    <s v="RET167619"/>
  </r>
  <r>
    <s v="Elaina_Giles"/>
    <x v="4"/>
    <x v="7"/>
    <x v="5"/>
    <s v="2026-03-08"/>
    <s v="AUX688160"/>
  </r>
  <r>
    <s v="Talia_Cuevas"/>
    <x v="15"/>
    <x v="0"/>
    <x v="0"/>
    <s v="2026-01-14"/>
    <s v="AUX674299"/>
  </r>
  <r>
    <s v="Martina_Salinas"/>
    <x v="12"/>
    <x v="2"/>
    <x v="9"/>
    <s v="2026-04-24"/>
    <s v="AUX109729"/>
  </r>
  <r>
    <s v="Priscilia_Welch"/>
    <x v="6"/>
    <x v="7"/>
    <x v="3"/>
    <s v="2026-04-24"/>
    <s v="RET335212"/>
  </r>
  <r>
    <s v="Valentina_Soto"/>
    <x v="15"/>
    <x v="7"/>
    <x v="2"/>
    <s v="2026-03-08"/>
    <s v="RET848432"/>
  </r>
  <r>
    <s v="Florencia_Matte"/>
    <x v="16"/>
    <x v="1"/>
    <x v="3"/>
    <s v="2026-04-25"/>
    <s v="RET672900"/>
  </r>
  <r>
    <s v="Elaina_Giles"/>
    <x v="16"/>
    <x v="5"/>
    <x v="1"/>
    <s v="2026-03-24"/>
    <s v="AUX253471"/>
  </r>
  <r>
    <s v="Camila_Errázuriz"/>
    <x v="7"/>
    <x v="8"/>
    <x v="6"/>
    <s v="2026-04-23"/>
    <s v="AUX542838"/>
  </r>
  <r>
    <s v="Valentina_Soto"/>
    <x v="16"/>
    <x v="8"/>
    <x v="2"/>
    <s v="2026-04-25"/>
    <s v="AUX377130"/>
  </r>
  <r>
    <s v="Sienna_Frost"/>
    <x v="5"/>
    <x v="8"/>
    <x v="7"/>
    <s v="2026-02-04"/>
    <s v="RET730178"/>
  </r>
  <r>
    <s v="Liora_Pace"/>
    <x v="9"/>
    <x v="11"/>
    <x v="7"/>
    <s v="2026-02-05"/>
    <s v="RET291629"/>
  </r>
  <r>
    <s v="Xander_Knight"/>
    <x v="9"/>
    <x v="5"/>
    <x v="2"/>
    <s v="2026-02-11"/>
    <s v="AUX330946"/>
  </r>
  <r>
    <s v="Cole_Bray"/>
    <x v="7"/>
    <x v="2"/>
    <x v="7"/>
    <s v="2026-01-14"/>
    <s v="AUX196218"/>
  </r>
  <r>
    <s v="Liora_Pace"/>
    <x v="6"/>
    <x v="12"/>
    <x v="0"/>
    <s v="2026-04-14"/>
    <s v="RET555498"/>
  </r>
  <r>
    <s v="Antonia_Prieto"/>
    <x v="3"/>
    <x v="3"/>
    <x v="0"/>
    <s v="2026-04-14"/>
    <s v="RET130697"/>
  </r>
  <r>
    <s v="Valentina_Soto"/>
    <x v="16"/>
    <x v="12"/>
    <x v="7"/>
    <s v="2026-01-20"/>
    <s v="AUX255087"/>
  </r>
  <r>
    <s v="Valentina_Soto"/>
    <x v="6"/>
    <x v="11"/>
    <x v="2"/>
    <s v="2026-02-06"/>
    <s v="RET735913"/>
  </r>
  <r>
    <s v="Xander_Knight"/>
    <x v="8"/>
    <x v="5"/>
    <x v="9"/>
    <s v="2026-01-21"/>
    <s v="AUX357497"/>
  </r>
  <r>
    <s v="Mateo_Fuenzalida"/>
    <x v="9"/>
    <x v="12"/>
    <x v="0"/>
    <s v="2026-02-26"/>
    <s v="AUX602884"/>
  </r>
  <r>
    <s v="Camila_Errázuriz"/>
    <x v="9"/>
    <x v="7"/>
    <x v="1"/>
    <s v="2026-02-07"/>
    <s v="AUX111460"/>
  </r>
  <r>
    <s v="Seraphina_Moon"/>
    <x v="3"/>
    <x v="8"/>
    <x v="9"/>
    <s v="2026-03-28"/>
    <s v="AUX547424"/>
  </r>
  <r>
    <s v="Xander_Knight"/>
    <x v="12"/>
    <x v="6"/>
    <x v="7"/>
    <s v="2026-01-11"/>
    <s v="AUX193787"/>
  </r>
  <r>
    <s v="Joaquín_Zañartu"/>
    <x v="11"/>
    <x v="2"/>
    <x v="2"/>
    <s v="2026-01-23"/>
    <s v="RET775250"/>
  </r>
  <r>
    <s v="Dante_Morrow"/>
    <x v="3"/>
    <x v="2"/>
    <x v="9"/>
    <s v="2026-03-30"/>
    <s v="AUX232626"/>
  </r>
  <r>
    <s v="Valentina_Soto"/>
    <x v="16"/>
    <x v="0"/>
    <x v="3"/>
    <s v="2026-01-30"/>
    <s v="AUX476893"/>
  </r>
  <r>
    <s v="Sienna_Frost"/>
    <x v="1"/>
    <x v="2"/>
    <x v="3"/>
    <s v="2026-04-11"/>
    <s v="AUX846589"/>
  </r>
  <r>
    <s v="Beckett_Chase"/>
    <x v="8"/>
    <x v="6"/>
    <x v="3"/>
    <s v="2026-02-19"/>
    <s v="RET692762"/>
  </r>
  <r>
    <s v="Dante_Morrow"/>
    <x v="16"/>
    <x v="12"/>
    <x v="2"/>
    <s v="2026-04-18"/>
    <s v="AUX977675"/>
  </r>
  <r>
    <s v="Antonia_Prieto"/>
    <x v="9"/>
    <x v="7"/>
    <x v="9"/>
    <s v="2026-02-07"/>
    <s v="AUX962230"/>
  </r>
  <r>
    <s v="Joaquín_Zañartu"/>
    <x v="3"/>
    <x v="7"/>
    <x v="7"/>
    <s v="2026-04-27"/>
    <s v="AUX319713"/>
  </r>
  <r>
    <s v="Beckett_Chase"/>
    <x v="12"/>
    <x v="3"/>
    <x v="3"/>
    <s v="2026-02-26"/>
    <s v="AUX349009"/>
  </r>
  <r>
    <s v="Thaddeus_Vance"/>
    <x v="7"/>
    <x v="7"/>
    <x v="2"/>
    <s v="2026-01-19"/>
    <s v="AUX685648"/>
  </r>
  <r>
    <s v="Isidora_Pinto"/>
    <x v="16"/>
    <x v="8"/>
    <x v="9"/>
    <s v="2026-01-16"/>
    <s v="RET636009"/>
  </r>
  <r>
    <s v="Lucas_Echeverría"/>
    <x v="3"/>
    <x v="11"/>
    <x v="7"/>
    <s v="2026-04-11"/>
    <s v="AUX970126"/>
  </r>
  <r>
    <s v="Matías_Lira"/>
    <x v="1"/>
    <x v="11"/>
    <x v="5"/>
    <s v="2026-01-21"/>
    <s v="RET576907"/>
  </r>
  <r>
    <s v="Thaddeus_Vance"/>
    <x v="8"/>
    <x v="0"/>
    <x v="1"/>
    <s v="2026-02-22"/>
    <s v="AUX338816"/>
  </r>
  <r>
    <s v="Joaquín_Zañartu"/>
    <x v="9"/>
    <x v="8"/>
    <x v="2"/>
    <s v="2026-02-03"/>
    <s v="AUX337558"/>
  </r>
  <r>
    <s v="Camila_Errázuriz"/>
    <x v="7"/>
    <x v="8"/>
    <x v="3"/>
    <s v="2026-04-08"/>
    <s v="RET374217"/>
  </r>
  <r>
    <s v="Xander_Knight"/>
    <x v="3"/>
    <x v="10"/>
    <x v="5"/>
    <s v="2026-04-16"/>
    <s v="AUX806667"/>
  </r>
  <r>
    <s v="Joaquín_Zañartu"/>
    <x v="5"/>
    <x v="0"/>
    <x v="1"/>
    <s v="2026-02-09"/>
    <s v="RET532832"/>
  </r>
  <r>
    <s v="Seraphina_Moon"/>
    <x v="9"/>
    <x v="4"/>
    <x v="6"/>
    <s v="2026-02-23"/>
    <s v="RET740939"/>
  </r>
  <r>
    <s v="Benjamín_Vargas"/>
    <x v="9"/>
    <x v="7"/>
    <x v="10"/>
    <s v="2026-03-07"/>
    <s v="RET383047"/>
  </r>
  <r>
    <s v="Nicolás_Olea"/>
    <x v="6"/>
    <x v="7"/>
    <x v="6"/>
    <s v="2026-03-28"/>
    <s v="RET460176"/>
  </r>
  <r>
    <s v="Mateo_Fuenzalida"/>
    <x v="4"/>
    <x v="5"/>
    <x v="4"/>
    <s v="2026-01-23"/>
    <s v="RET235620"/>
  </r>
  <r>
    <s v="Talia_Cuevas"/>
    <x v="12"/>
    <x v="8"/>
    <x v="8"/>
    <s v="2026-03-04"/>
    <s v="AUX550703"/>
  </r>
  <r>
    <s v="Elaina_Giles"/>
    <x v="3"/>
    <x v="6"/>
    <x v="1"/>
    <s v="2026-04-30"/>
    <s v="RET476874"/>
  </r>
  <r>
    <s v="Thaddeus_Vance"/>
    <x v="10"/>
    <x v="4"/>
    <x v="3"/>
    <s v="2026-02-26"/>
    <s v="RET488783"/>
  </r>
  <r>
    <s v="Camila_Errázuriz"/>
    <x v="9"/>
    <x v="5"/>
    <x v="8"/>
    <s v="2026-01-05"/>
    <s v="AUX476584"/>
  </r>
  <r>
    <s v="Thaddeus_Vance"/>
    <x v="3"/>
    <x v="12"/>
    <x v="7"/>
    <s v="2026-04-22"/>
    <s v="RET256669"/>
  </r>
  <r>
    <s v="Matías_Lira"/>
    <x v="8"/>
    <x v="4"/>
    <x v="1"/>
    <s v="2026-01-18"/>
    <s v="RET503810"/>
  </r>
  <r>
    <s v="Dante_Morrow"/>
    <x v="5"/>
    <x v="5"/>
    <x v="0"/>
    <s v="2026-01-24"/>
    <s v="AUX274962"/>
  </r>
  <r>
    <s v="Mila_Rivers"/>
    <x v="3"/>
    <x v="0"/>
    <x v="5"/>
    <s v="2026-03-29"/>
    <s v="AUX951115"/>
  </r>
  <r>
    <s v="Beckett_Chase"/>
    <x v="8"/>
    <x v="8"/>
    <x v="2"/>
    <s v="2026-01-10"/>
    <s v="RET413429"/>
  </r>
  <r>
    <s v="Tomás_Guzmán"/>
    <x v="1"/>
    <x v="1"/>
    <x v="3"/>
    <s v="2026-05-01"/>
    <s v="RET926040"/>
  </r>
  <r>
    <s v="Priscilia_Welch"/>
    <x v="1"/>
    <x v="11"/>
    <x v="3"/>
    <s v="2026-02-14"/>
    <s v="AUX180850"/>
  </r>
  <r>
    <s v="Lucas_Echeverría"/>
    <x v="1"/>
    <x v="6"/>
    <x v="2"/>
    <s v="2026-03-21"/>
    <s v="RET856122"/>
  </r>
  <r>
    <s v="Thaddeus_Vance"/>
    <x v="7"/>
    <x v="5"/>
    <x v="0"/>
    <s v="2026-02-12"/>
    <s v="AUX986159"/>
  </r>
  <r>
    <s v="Valentina_Soto"/>
    <x v="15"/>
    <x v="4"/>
    <x v="7"/>
    <s v="2026-01-24"/>
    <s v="AUX751798"/>
  </r>
  <r>
    <s v="Xander_Knight"/>
    <x v="6"/>
    <x v="4"/>
    <x v="6"/>
    <s v="2026-01-27"/>
    <s v="AUX845987"/>
  </r>
  <r>
    <s v="Javiera_Lorca"/>
    <x v="6"/>
    <x v="2"/>
    <x v="2"/>
    <s v="2026-03-14"/>
    <s v="RET716379"/>
  </r>
  <r>
    <s v="Isidora_Pinto"/>
    <x v="7"/>
    <x v="7"/>
    <x v="7"/>
    <s v="2026-01-08"/>
    <s v="AUX893793"/>
  </r>
  <r>
    <s v="Seraphina_Moon"/>
    <x v="11"/>
    <x v="7"/>
    <x v="2"/>
    <s v="2026-01-09"/>
    <s v="AUX647383"/>
  </r>
  <r>
    <s v="Martina_Salinas"/>
    <x v="9"/>
    <x v="6"/>
    <x v="5"/>
    <s v="2026-01-24"/>
    <s v="RET544677"/>
  </r>
  <r>
    <s v="Elaina_Giles"/>
    <x v="1"/>
    <x v="2"/>
    <x v="6"/>
    <s v="2026-01-02"/>
    <s v="AUX229343"/>
  </r>
  <r>
    <s v="Joaquín_Zañartu"/>
    <x v="1"/>
    <x v="7"/>
    <x v="7"/>
    <s v="2026-04-08"/>
    <s v="AUX500036"/>
  </r>
  <r>
    <s v="Sienna_Frost"/>
    <x v="15"/>
    <x v="12"/>
    <x v="2"/>
    <s v="2026-01-31"/>
    <s v="RET878893"/>
  </r>
  <r>
    <s v="Cole_Bray"/>
    <x v="9"/>
    <x v="8"/>
    <x v="1"/>
    <s v="2026-01-11"/>
    <s v="AUX771692"/>
  </r>
  <r>
    <s v="Seraphina_Moon"/>
    <x v="9"/>
    <x v="6"/>
    <x v="6"/>
    <s v="2026-03-21"/>
    <s v="AUX864977"/>
  </r>
  <r>
    <s v="Beckett_Chase"/>
    <x v="9"/>
    <x v="10"/>
    <x v="0"/>
    <s v="2026-03-23"/>
    <s v="RET832634"/>
  </r>
  <r>
    <s v="Sienna_Frost"/>
    <x v="6"/>
    <x v="9"/>
    <x v="7"/>
    <s v="2026-02-28"/>
    <s v="RET332382"/>
  </r>
  <r>
    <s v="Liora_Pace"/>
    <x v="7"/>
    <x v="7"/>
    <x v="10"/>
    <s v="2026-01-21"/>
    <s v="RET920831"/>
  </r>
  <r>
    <s v="Martina_Salinas"/>
    <x v="0"/>
    <x v="1"/>
    <x v="7"/>
    <s v="2026-04-19"/>
    <s v="RET820332"/>
  </r>
  <r>
    <s v="Xander_Knight"/>
    <x v="16"/>
    <x v="0"/>
    <x v="9"/>
    <s v="2026-05-01"/>
    <s v="RET396097"/>
  </r>
  <r>
    <s v="Tomás_Guzmán"/>
    <x v="8"/>
    <x v="5"/>
    <x v="5"/>
    <s v="2026-03-09"/>
    <s v="RET281725"/>
  </r>
  <r>
    <s v="Benjamín_Vargas"/>
    <x v="12"/>
    <x v="8"/>
    <x v="8"/>
    <s v="2026-03-25"/>
    <s v="AUX683686"/>
  </r>
  <r>
    <s v="Matías_Lira"/>
    <x v="9"/>
    <x v="5"/>
    <x v="1"/>
    <s v="2026-03-14"/>
    <s v="RET948828"/>
  </r>
  <r>
    <s v="Kobe_Higgins"/>
    <x v="9"/>
    <x v="7"/>
    <x v="0"/>
    <s v="2026-04-01"/>
    <s v="RET644704"/>
  </r>
  <r>
    <s v="Lucas_Echeverría"/>
    <x v="3"/>
    <x v="2"/>
    <x v="9"/>
    <s v="2026-02-23"/>
    <s v="RET391881"/>
  </r>
  <r>
    <s v="Matías_Lira"/>
    <x v="7"/>
    <x v="1"/>
    <x v="5"/>
    <s v="2026-04-22"/>
    <s v="RET804019"/>
  </r>
  <r>
    <s v="Tomás_Guzmán"/>
    <x v="3"/>
    <x v="10"/>
    <x v="3"/>
    <s v="2026-01-31"/>
    <s v="AUX355553"/>
  </r>
  <r>
    <s v="Kobe_Higgins"/>
    <x v="3"/>
    <x v="0"/>
    <x v="3"/>
    <s v="2026-03-13"/>
    <s v="RET711761"/>
  </r>
  <r>
    <s v="Kobe_Higgins"/>
    <x v="8"/>
    <x v="1"/>
    <x v="4"/>
    <s v="2026-04-08"/>
    <s v="RET593254"/>
  </r>
  <r>
    <s v="Martina_Salinas"/>
    <x v="12"/>
    <x v="12"/>
    <x v="2"/>
    <s v="2026-03-20"/>
    <s v="AUX703128"/>
  </r>
  <r>
    <s v="Ignacio_Reyes"/>
    <x v="12"/>
    <x v="11"/>
    <x v="2"/>
    <s v="2026-01-23"/>
    <s v="RET854310"/>
  </r>
  <r>
    <s v="Kobe_Higgins"/>
    <x v="11"/>
    <x v="1"/>
    <x v="0"/>
    <s v="2026-03-12"/>
    <s v="AUX684784"/>
  </r>
  <r>
    <s v="Javiera_Lorca"/>
    <x v="1"/>
    <x v="4"/>
    <x v="9"/>
    <s v="2026-05-01"/>
    <s v="RET439492"/>
  </r>
  <r>
    <s v="Cole_Bray"/>
    <x v="8"/>
    <x v="11"/>
    <x v="5"/>
    <s v="2026-03-17"/>
    <s v="RET214568"/>
  </r>
  <r>
    <s v="Cole_Bray"/>
    <x v="16"/>
    <x v="7"/>
    <x v="8"/>
    <s v="2026-04-07"/>
    <s v="AUX176106"/>
  </r>
  <r>
    <s v="Kobe_Higgins"/>
    <x v="8"/>
    <x v="5"/>
    <x v="0"/>
    <s v="2026-01-18"/>
    <s v="RET254303"/>
  </r>
  <r>
    <s v="Talia_Cuevas"/>
    <x v="1"/>
    <x v="5"/>
    <x v="1"/>
    <s v="2026-01-05"/>
    <s v="AUX926313"/>
  </r>
  <r>
    <s v="Kobe_Higgins"/>
    <x v="12"/>
    <x v="11"/>
    <x v="6"/>
    <s v="2026-03-24"/>
    <s v="AUX557626"/>
  </r>
  <r>
    <s v="Camila_Errázuriz"/>
    <x v="13"/>
    <x v="11"/>
    <x v="2"/>
    <s v="2026-02-15"/>
    <s v="AUX586888"/>
  </r>
  <r>
    <s v="Dante_Morrow"/>
    <x v="0"/>
    <x v="6"/>
    <x v="9"/>
    <s v="2026-04-20"/>
    <s v="AUX318015"/>
  </r>
  <r>
    <s v="Mila_Rivers"/>
    <x v="12"/>
    <x v="5"/>
    <x v="4"/>
    <s v="2026-02-06"/>
    <s v="AUX122014"/>
  </r>
  <r>
    <s v="Kobe_Higgins"/>
    <x v="8"/>
    <x v="5"/>
    <x v="2"/>
    <s v="2026-02-01"/>
    <s v="RET819236"/>
  </r>
  <r>
    <s v="Tomás_Guzmán"/>
    <x v="9"/>
    <x v="5"/>
    <x v="7"/>
    <s v="2026-02-06"/>
    <s v="RET922392"/>
  </r>
  <r>
    <s v="Lucas_Echeverría"/>
    <x v="2"/>
    <x v="8"/>
    <x v="7"/>
    <s v="2026-04-21"/>
    <s v="RET705589"/>
  </r>
  <r>
    <s v="Javiera_Lorca"/>
    <x v="12"/>
    <x v="1"/>
    <x v="3"/>
    <s v="2026-04-10"/>
    <s v="AUX511037"/>
  </r>
  <r>
    <s v="Beckett_Chase"/>
    <x v="16"/>
    <x v="1"/>
    <x v="0"/>
    <s v="2026-03-23"/>
    <s v="RET374807"/>
  </r>
  <r>
    <s v="Thaddeus_Vance"/>
    <x v="14"/>
    <x v="7"/>
    <x v="2"/>
    <s v="2026-04-28"/>
    <s v="AUX263231"/>
  </r>
  <r>
    <s v="Kobe_Higgins"/>
    <x v="11"/>
    <x v="3"/>
    <x v="1"/>
    <s v="2026-01-02"/>
    <s v="AUX812978"/>
  </r>
  <r>
    <s v="Ignacio_Reyes"/>
    <x v="9"/>
    <x v="0"/>
    <x v="7"/>
    <s v="2026-04-09"/>
    <s v="AUX284698"/>
  </r>
  <r>
    <s v="Joaquín_Zañartu"/>
    <x v="8"/>
    <x v="11"/>
    <x v="2"/>
    <s v="2026-02-08"/>
    <s v="RET282141"/>
  </r>
  <r>
    <s v="Seraphina_Moon"/>
    <x v="1"/>
    <x v="10"/>
    <x v="3"/>
    <s v="2026-02-13"/>
    <s v="RET511282"/>
  </r>
  <r>
    <s v="Matías_Lira"/>
    <x v="1"/>
    <x v="10"/>
    <x v="1"/>
    <s v="2026-02-08"/>
    <s v="RET213030"/>
  </r>
  <r>
    <s v="Beckett_Chase"/>
    <x v="3"/>
    <x v="0"/>
    <x v="2"/>
    <s v="2026-02-21"/>
    <s v="RET141173"/>
  </r>
  <r>
    <s v="Florencia_Matte"/>
    <x v="4"/>
    <x v="4"/>
    <x v="8"/>
    <s v="2026-03-28"/>
    <s v="AUX200361"/>
  </r>
  <r>
    <s v="Tomás_Guzmán"/>
    <x v="6"/>
    <x v="0"/>
    <x v="4"/>
    <s v="2026-03-05"/>
    <s v="AUX130533"/>
  </r>
  <r>
    <s v="Camila_Errázuriz"/>
    <x v="13"/>
    <x v="4"/>
    <x v="7"/>
    <s v="2026-01-15"/>
    <s v="AUX310452"/>
  </r>
  <r>
    <s v="Thaddeus_Vance"/>
    <x v="12"/>
    <x v="10"/>
    <x v="7"/>
    <s v="2026-02-07"/>
    <s v="RET239643"/>
  </r>
  <r>
    <s v="Ignacio_Reyes"/>
    <x v="7"/>
    <x v="5"/>
    <x v="9"/>
    <s v="2026-01-16"/>
    <s v="AUX849972"/>
  </r>
  <r>
    <s v="Dante_Morrow"/>
    <x v="7"/>
    <x v="1"/>
    <x v="2"/>
    <s v="2026-04-20"/>
    <s v="AUX862001"/>
  </r>
  <r>
    <s v="Elaina_Giles"/>
    <x v="16"/>
    <x v="3"/>
    <x v="7"/>
    <s v="2026-03-13"/>
    <s v="RET350105"/>
  </r>
  <r>
    <s v="Seraphina_Moon"/>
    <x v="0"/>
    <x v="5"/>
    <x v="7"/>
    <s v="2026-02-11"/>
    <s v="RET616719"/>
  </r>
  <r>
    <s v="Antonia_Prieto"/>
    <x v="3"/>
    <x v="4"/>
    <x v="3"/>
    <s v="2026-01-10"/>
    <s v="RET735501"/>
  </r>
  <r>
    <s v="Sienna_Frost"/>
    <x v="3"/>
    <x v="5"/>
    <x v="3"/>
    <s v="2026-04-14"/>
    <s v="RET997576"/>
  </r>
  <r>
    <s v="Lucas_Echeverría"/>
    <x v="7"/>
    <x v="1"/>
    <x v="7"/>
    <s v="2026-01-10"/>
    <s v="RET923654"/>
  </r>
  <r>
    <s v="Mila_Rivers"/>
    <x v="2"/>
    <x v="5"/>
    <x v="5"/>
    <s v="2026-03-17"/>
    <s v="AUX503175"/>
  </r>
  <r>
    <s v="Seraphina_Moon"/>
    <x v="10"/>
    <x v="10"/>
    <x v="3"/>
    <s v="2026-04-05"/>
    <s v="AUX901230"/>
  </r>
  <r>
    <s v="Priscilia_Welch"/>
    <x v="12"/>
    <x v="12"/>
    <x v="5"/>
    <s v="2026-02-08"/>
    <s v="RET218074"/>
  </r>
  <r>
    <s v="Beckett_Chase"/>
    <x v="13"/>
    <x v="6"/>
    <x v="9"/>
    <s v="2026-04-02"/>
    <s v="RET204898"/>
  </r>
  <r>
    <s v="Javiera_Lorca"/>
    <x v="14"/>
    <x v="3"/>
    <x v="0"/>
    <s v="2026-03-09"/>
    <s v="RET475365"/>
  </r>
  <r>
    <s v="Antonia_Prieto"/>
    <x v="2"/>
    <x v="7"/>
    <x v="1"/>
    <s v="2026-03-17"/>
    <s v="AUX655417"/>
  </r>
  <r>
    <s v="Cole_Bray"/>
    <x v="12"/>
    <x v="4"/>
    <x v="3"/>
    <s v="2026-01-10"/>
    <s v="AUX998751"/>
  </r>
  <r>
    <s v="Antonia_Prieto"/>
    <x v="14"/>
    <x v="2"/>
    <x v="1"/>
    <s v="2026-03-30"/>
    <s v="AUX763077"/>
  </r>
  <r>
    <s v="Mila_Rivers"/>
    <x v="10"/>
    <x v="0"/>
    <x v="2"/>
    <s v="2026-01-09"/>
    <s v="RET489583"/>
  </r>
  <r>
    <s v="Isidora_Pinto"/>
    <x v="7"/>
    <x v="4"/>
    <x v="5"/>
    <s v="2026-03-23"/>
    <s v="RET165743"/>
  </r>
  <r>
    <s v="Dante_Morrow"/>
    <x v="0"/>
    <x v="7"/>
    <x v="0"/>
    <s v="2026-04-11"/>
    <s v="AUX934618"/>
  </r>
  <r>
    <s v="Thaddeus_Vance"/>
    <x v="14"/>
    <x v="3"/>
    <x v="7"/>
    <s v="2026-03-29"/>
    <s v="RET939099"/>
  </r>
  <r>
    <s v="Nicolás_Olea"/>
    <x v="4"/>
    <x v="2"/>
    <x v="9"/>
    <s v="2026-04-10"/>
    <s v="RET674174"/>
  </r>
  <r>
    <s v="Mateo_Fuenzalida"/>
    <x v="1"/>
    <x v="5"/>
    <x v="0"/>
    <s v="2026-01-13"/>
    <s v="RET939407"/>
  </r>
  <r>
    <s v="Nicolás_Olea"/>
    <x v="9"/>
    <x v="5"/>
    <x v="3"/>
    <s v="2026-02-21"/>
    <s v="AUX546531"/>
  </r>
  <r>
    <s v="Nicolás_Olea"/>
    <x v="12"/>
    <x v="5"/>
    <x v="7"/>
    <s v="2026-03-24"/>
    <s v="AUX172833"/>
  </r>
  <r>
    <s v="Beckett_Chase"/>
    <x v="5"/>
    <x v="0"/>
    <x v="1"/>
    <s v="2026-04-14"/>
    <s v="RET164700"/>
  </r>
  <r>
    <s v="Camila_Errázuriz"/>
    <x v="15"/>
    <x v="9"/>
    <x v="7"/>
    <s v="2026-04-29"/>
    <s v="AUX217779"/>
  </r>
  <r>
    <s v="Thaddeus_Vance"/>
    <x v="3"/>
    <x v="11"/>
    <x v="10"/>
    <s v="2026-01-01"/>
    <s v="AUX322061"/>
  </r>
  <r>
    <s v="Mila_Rivers"/>
    <x v="7"/>
    <x v="0"/>
    <x v="8"/>
    <s v="2026-03-14"/>
    <s v="AUX125996"/>
  </r>
  <r>
    <s v="Mila_Rivers"/>
    <x v="15"/>
    <x v="5"/>
    <x v="2"/>
    <s v="2026-04-19"/>
    <s v="AUX679886"/>
  </r>
  <r>
    <s v="Florencia_Matte"/>
    <x v="8"/>
    <x v="8"/>
    <x v="7"/>
    <s v="2026-03-04"/>
    <s v="RET185436"/>
  </r>
  <r>
    <s v="Joaquín_Zañartu"/>
    <x v="14"/>
    <x v="4"/>
    <x v="10"/>
    <s v="2026-02-01"/>
    <s v="RET270569"/>
  </r>
  <r>
    <s v="Kobe_Higgins"/>
    <x v="5"/>
    <x v="2"/>
    <x v="3"/>
    <s v="2026-03-12"/>
    <s v="AUX284845"/>
  </r>
  <r>
    <s v="Priscilia_Welch"/>
    <x v="12"/>
    <x v="6"/>
    <x v="0"/>
    <s v="2026-02-18"/>
    <s v="AUX705457"/>
  </r>
  <r>
    <s v="Thaddeus_Vance"/>
    <x v="10"/>
    <x v="9"/>
    <x v="0"/>
    <s v="2026-02-25"/>
    <s v="AUX473034"/>
  </r>
  <r>
    <s v="Beckett_Chase"/>
    <x v="4"/>
    <x v="12"/>
    <x v="9"/>
    <s v="2026-04-02"/>
    <s v="RET474340"/>
  </r>
  <r>
    <s v="Nicolás_Olea"/>
    <x v="8"/>
    <x v="2"/>
    <x v="4"/>
    <s v="2026-02-23"/>
    <s v="RET889390"/>
  </r>
  <r>
    <s v="Tomás_Guzmán"/>
    <x v="3"/>
    <x v="5"/>
    <x v="1"/>
    <s v="2026-04-13"/>
    <s v="AUX173865"/>
  </r>
  <r>
    <s v="Cole_Bray"/>
    <x v="9"/>
    <x v="4"/>
    <x v="0"/>
    <s v="2026-01-22"/>
    <s v="RET595068"/>
  </r>
  <r>
    <s v="Sienna_Frost"/>
    <x v="8"/>
    <x v="10"/>
    <x v="0"/>
    <s v="2026-03-04"/>
    <s v="RET863954"/>
  </r>
  <r>
    <s v="Florencia_Matte"/>
    <x v="11"/>
    <x v="5"/>
    <x v="10"/>
    <s v="2026-03-02"/>
    <s v="RET568085"/>
  </r>
  <r>
    <s v="Nicolás_Olea"/>
    <x v="9"/>
    <x v="7"/>
    <x v="0"/>
    <s v="2026-04-15"/>
    <s v="AUX588823"/>
  </r>
  <r>
    <s v="Camila_Errázuriz"/>
    <x v="7"/>
    <x v="12"/>
    <x v="3"/>
    <s v="2026-03-22"/>
    <s v="AUX779338"/>
  </r>
  <r>
    <s v="Cole_Bray"/>
    <x v="5"/>
    <x v="5"/>
    <x v="7"/>
    <s v="2026-01-05"/>
    <s v="RET830732"/>
  </r>
  <r>
    <s v="Seraphina_Moon"/>
    <x v="0"/>
    <x v="8"/>
    <x v="9"/>
    <s v="2026-03-30"/>
    <s v="RET546350"/>
  </r>
  <r>
    <s v="Talia_Cuevas"/>
    <x v="7"/>
    <x v="9"/>
    <x v="2"/>
    <s v="2026-01-08"/>
    <s v="RET499358"/>
  </r>
  <r>
    <s v="Beckett_Chase"/>
    <x v="0"/>
    <x v="10"/>
    <x v="0"/>
    <s v="2026-04-02"/>
    <s v="RET394980"/>
  </r>
  <r>
    <s v="Camila_Errázuriz"/>
    <x v="8"/>
    <x v="11"/>
    <x v="9"/>
    <s v="2026-01-07"/>
    <s v="AUX637983"/>
  </r>
  <r>
    <s v="Talia_Cuevas"/>
    <x v="1"/>
    <x v="0"/>
    <x v="0"/>
    <s v="2026-03-12"/>
    <s v="RET106139"/>
  </r>
  <r>
    <s v="Nicolás_Olea"/>
    <x v="3"/>
    <x v="7"/>
    <x v="6"/>
    <s v="2026-01-22"/>
    <s v="RET234776"/>
  </r>
  <r>
    <s v="Priscilia_Welch"/>
    <x v="8"/>
    <x v="4"/>
    <x v="3"/>
    <s v="2026-04-08"/>
    <s v="AUX718929"/>
  </r>
  <r>
    <s v="Ignacio_Reyes"/>
    <x v="8"/>
    <x v="4"/>
    <x v="0"/>
    <s v="2026-02-12"/>
    <s v="AUX595697"/>
  </r>
  <r>
    <s v="Xander_Knight"/>
    <x v="14"/>
    <x v="4"/>
    <x v="9"/>
    <s v="2026-03-18"/>
    <s v="RET369465"/>
  </r>
  <r>
    <s v="Dante_Morrow"/>
    <x v="9"/>
    <x v="1"/>
    <x v="2"/>
    <s v="2026-04-18"/>
    <s v="RET907237"/>
  </r>
  <r>
    <s v="Lucas_Echeverría"/>
    <x v="1"/>
    <x v="12"/>
    <x v="0"/>
    <s v="2026-03-02"/>
    <s v="RET302537"/>
  </r>
  <r>
    <s v="Liora_Pace"/>
    <x v="16"/>
    <x v="5"/>
    <x v="0"/>
    <s v="2026-03-10"/>
    <s v="AUX542847"/>
  </r>
  <r>
    <s v="Cole_Bray"/>
    <x v="14"/>
    <x v="9"/>
    <x v="9"/>
    <s v="2026-01-25"/>
    <s v="RET600984"/>
  </r>
  <r>
    <m/>
    <x v="17"/>
    <x v="13"/>
    <x v="1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x v="0"/>
  </r>
  <r>
    <x v="1"/>
    <x v="1"/>
  </r>
  <r>
    <x v="0"/>
    <x v="2"/>
  </r>
  <r>
    <x v="2"/>
    <x v="3"/>
  </r>
  <r>
    <x v="3"/>
    <x v="3"/>
  </r>
  <r>
    <x v="0"/>
    <x v="1"/>
  </r>
  <r>
    <x v="0"/>
    <x v="3"/>
  </r>
  <r>
    <x v="4"/>
    <x v="1"/>
  </r>
  <r>
    <x v="4"/>
    <x v="1"/>
  </r>
  <r>
    <x v="0"/>
    <x v="2"/>
  </r>
  <r>
    <x v="4"/>
    <x v="0"/>
  </r>
  <r>
    <x v="4"/>
    <x v="4"/>
  </r>
  <r>
    <x v="4"/>
    <x v="3"/>
  </r>
  <r>
    <x v="5"/>
    <x v="4"/>
  </r>
  <r>
    <x v="0"/>
    <x v="2"/>
  </r>
  <r>
    <x v="5"/>
    <x v="4"/>
  </r>
  <r>
    <x v="3"/>
    <x v="4"/>
  </r>
  <r>
    <x v="1"/>
    <x v="4"/>
  </r>
  <r>
    <x v="5"/>
    <x v="2"/>
  </r>
  <r>
    <x v="5"/>
    <x v="0"/>
  </r>
  <r>
    <x v="0"/>
    <x v="1"/>
  </r>
  <r>
    <x v="3"/>
    <x v="1"/>
  </r>
  <r>
    <x v="5"/>
    <x v="1"/>
  </r>
  <r>
    <x v="1"/>
    <x v="1"/>
  </r>
  <r>
    <x v="5"/>
    <x v="3"/>
  </r>
  <r>
    <x v="5"/>
    <x v="0"/>
  </r>
  <r>
    <x v="2"/>
    <x v="1"/>
  </r>
  <r>
    <x v="1"/>
    <x v="0"/>
  </r>
  <r>
    <x v="4"/>
    <x v="2"/>
  </r>
  <r>
    <x v="4"/>
    <x v="1"/>
  </r>
  <r>
    <x v="5"/>
    <x v="4"/>
  </r>
  <r>
    <x v="4"/>
    <x v="1"/>
  </r>
  <r>
    <x v="5"/>
    <x v="1"/>
  </r>
  <r>
    <x v="0"/>
    <x v="2"/>
  </r>
  <r>
    <x v="1"/>
    <x v="3"/>
  </r>
  <r>
    <x v="3"/>
    <x v="1"/>
  </r>
  <r>
    <x v="5"/>
    <x v="3"/>
  </r>
  <r>
    <x v="4"/>
    <x v="4"/>
  </r>
  <r>
    <x v="0"/>
    <x v="4"/>
  </r>
  <r>
    <x v="5"/>
    <x v="3"/>
  </r>
  <r>
    <x v="4"/>
    <x v="1"/>
  </r>
  <r>
    <x v="2"/>
    <x v="3"/>
  </r>
  <r>
    <x v="3"/>
    <x v="2"/>
  </r>
  <r>
    <x v="3"/>
    <x v="4"/>
  </r>
  <r>
    <x v="5"/>
    <x v="1"/>
  </r>
  <r>
    <x v="3"/>
    <x v="3"/>
  </r>
  <r>
    <x v="4"/>
    <x v="3"/>
  </r>
  <r>
    <x v="5"/>
    <x v="2"/>
  </r>
  <r>
    <x v="3"/>
    <x v="1"/>
  </r>
  <r>
    <x v="1"/>
    <x v="2"/>
  </r>
  <r>
    <x v="0"/>
    <x v="0"/>
  </r>
  <r>
    <x v="5"/>
    <x v="0"/>
  </r>
  <r>
    <x v="3"/>
    <x v="1"/>
  </r>
  <r>
    <x v="3"/>
    <x v="4"/>
  </r>
  <r>
    <x v="5"/>
    <x v="2"/>
  </r>
  <r>
    <x v="5"/>
    <x v="1"/>
  </r>
  <r>
    <x v="3"/>
    <x v="1"/>
  </r>
  <r>
    <x v="5"/>
    <x v="1"/>
  </r>
  <r>
    <x v="5"/>
    <x v="1"/>
  </r>
  <r>
    <x v="0"/>
    <x v="2"/>
  </r>
  <r>
    <x v="2"/>
    <x v="4"/>
  </r>
  <r>
    <x v="1"/>
    <x v="0"/>
  </r>
  <r>
    <x v="5"/>
    <x v="0"/>
  </r>
  <r>
    <x v="4"/>
    <x v="3"/>
  </r>
  <r>
    <x v="4"/>
    <x v="2"/>
  </r>
  <r>
    <x v="2"/>
    <x v="4"/>
  </r>
  <r>
    <x v="5"/>
    <x v="0"/>
  </r>
  <r>
    <x v="2"/>
    <x v="1"/>
  </r>
  <r>
    <x v="5"/>
    <x v="3"/>
  </r>
  <r>
    <x v="0"/>
    <x v="3"/>
  </r>
  <r>
    <x v="1"/>
    <x v="3"/>
  </r>
  <r>
    <x v="5"/>
    <x v="4"/>
  </r>
  <r>
    <x v="5"/>
    <x v="3"/>
  </r>
  <r>
    <x v="1"/>
    <x v="3"/>
  </r>
  <r>
    <x v="0"/>
    <x v="4"/>
  </r>
  <r>
    <x v="5"/>
    <x v="2"/>
  </r>
  <r>
    <x v="5"/>
    <x v="3"/>
  </r>
  <r>
    <x v="5"/>
    <x v="2"/>
  </r>
  <r>
    <x v="1"/>
    <x v="1"/>
  </r>
  <r>
    <x v="4"/>
    <x v="3"/>
  </r>
  <r>
    <x v="2"/>
    <x v="2"/>
  </r>
  <r>
    <x v="2"/>
    <x v="2"/>
  </r>
  <r>
    <x v="4"/>
    <x v="2"/>
  </r>
  <r>
    <x v="2"/>
    <x v="1"/>
  </r>
  <r>
    <x v="3"/>
    <x v="3"/>
  </r>
  <r>
    <x v="5"/>
    <x v="1"/>
  </r>
  <r>
    <x v="1"/>
    <x v="1"/>
  </r>
  <r>
    <x v="3"/>
    <x v="2"/>
  </r>
  <r>
    <x v="3"/>
    <x v="3"/>
  </r>
  <r>
    <x v="5"/>
    <x v="4"/>
  </r>
  <r>
    <x v="0"/>
    <x v="0"/>
  </r>
  <r>
    <x v="5"/>
    <x v="1"/>
  </r>
  <r>
    <x v="4"/>
    <x v="2"/>
  </r>
  <r>
    <x v="0"/>
    <x v="2"/>
  </r>
  <r>
    <x v="5"/>
    <x v="1"/>
  </r>
  <r>
    <x v="4"/>
    <x v="3"/>
  </r>
  <r>
    <x v="1"/>
    <x v="1"/>
  </r>
  <r>
    <x v="5"/>
    <x v="0"/>
  </r>
  <r>
    <x v="1"/>
    <x v="1"/>
  </r>
  <r>
    <x v="5"/>
    <x v="0"/>
  </r>
  <r>
    <x v="1"/>
    <x v="4"/>
  </r>
  <r>
    <x v="1"/>
    <x v="3"/>
  </r>
  <r>
    <x v="4"/>
    <x v="0"/>
  </r>
  <r>
    <x v="3"/>
    <x v="3"/>
  </r>
  <r>
    <x v="5"/>
    <x v="2"/>
  </r>
  <r>
    <x v="4"/>
    <x v="2"/>
  </r>
  <r>
    <x v="3"/>
    <x v="4"/>
  </r>
  <r>
    <x v="3"/>
    <x v="3"/>
  </r>
  <r>
    <x v="4"/>
    <x v="4"/>
  </r>
  <r>
    <x v="4"/>
    <x v="3"/>
  </r>
  <r>
    <x v="3"/>
    <x v="1"/>
  </r>
  <r>
    <x v="1"/>
    <x v="1"/>
  </r>
  <r>
    <x v="4"/>
    <x v="0"/>
  </r>
  <r>
    <x v="2"/>
    <x v="4"/>
  </r>
  <r>
    <x v="5"/>
    <x v="2"/>
  </r>
  <r>
    <x v="1"/>
    <x v="4"/>
  </r>
  <r>
    <x v="4"/>
    <x v="4"/>
  </r>
  <r>
    <x v="5"/>
    <x v="2"/>
  </r>
  <r>
    <x v="0"/>
    <x v="2"/>
  </r>
  <r>
    <x v="0"/>
    <x v="3"/>
  </r>
  <r>
    <x v="1"/>
    <x v="4"/>
  </r>
  <r>
    <x v="0"/>
    <x v="1"/>
  </r>
  <r>
    <x v="4"/>
    <x v="1"/>
  </r>
  <r>
    <x v="5"/>
    <x v="0"/>
  </r>
  <r>
    <x v="0"/>
    <x v="4"/>
  </r>
  <r>
    <x v="0"/>
    <x v="1"/>
  </r>
  <r>
    <x v="5"/>
    <x v="3"/>
  </r>
  <r>
    <x v="0"/>
    <x v="1"/>
  </r>
  <r>
    <x v="3"/>
    <x v="0"/>
  </r>
  <r>
    <x v="1"/>
    <x v="2"/>
  </r>
  <r>
    <x v="0"/>
    <x v="2"/>
  </r>
  <r>
    <x v="4"/>
    <x v="4"/>
  </r>
  <r>
    <x v="5"/>
    <x v="2"/>
  </r>
  <r>
    <x v="2"/>
    <x v="0"/>
  </r>
  <r>
    <x v="5"/>
    <x v="1"/>
  </r>
  <r>
    <x v="5"/>
    <x v="1"/>
  </r>
  <r>
    <x v="0"/>
    <x v="0"/>
  </r>
  <r>
    <x v="0"/>
    <x v="3"/>
  </r>
  <r>
    <x v="5"/>
    <x v="3"/>
  </r>
  <r>
    <x v="5"/>
    <x v="2"/>
  </r>
  <r>
    <x v="1"/>
    <x v="3"/>
  </r>
  <r>
    <x v="4"/>
    <x v="1"/>
  </r>
  <r>
    <x v="1"/>
    <x v="2"/>
  </r>
  <r>
    <x v="1"/>
    <x v="2"/>
  </r>
  <r>
    <x v="1"/>
    <x v="4"/>
  </r>
  <r>
    <x v="4"/>
    <x v="4"/>
  </r>
  <r>
    <x v="4"/>
    <x v="2"/>
  </r>
  <r>
    <x v="0"/>
    <x v="4"/>
  </r>
  <r>
    <x v="1"/>
    <x v="0"/>
  </r>
  <r>
    <x v="2"/>
    <x v="0"/>
  </r>
  <r>
    <x v="1"/>
    <x v="4"/>
  </r>
  <r>
    <x v="4"/>
    <x v="2"/>
  </r>
  <r>
    <x v="4"/>
    <x v="3"/>
  </r>
  <r>
    <x v="1"/>
    <x v="0"/>
  </r>
  <r>
    <x v="5"/>
    <x v="1"/>
  </r>
  <r>
    <x v="1"/>
    <x v="3"/>
  </r>
  <r>
    <x v="0"/>
    <x v="4"/>
  </r>
  <r>
    <x v="0"/>
    <x v="2"/>
  </r>
  <r>
    <x v="0"/>
    <x v="3"/>
  </r>
  <r>
    <x v="0"/>
    <x v="3"/>
  </r>
  <r>
    <x v="0"/>
    <x v="3"/>
  </r>
  <r>
    <x v="0"/>
    <x v="3"/>
  </r>
  <r>
    <x v="1"/>
    <x v="2"/>
  </r>
  <r>
    <x v="5"/>
    <x v="3"/>
  </r>
  <r>
    <x v="5"/>
    <x v="4"/>
  </r>
  <r>
    <x v="2"/>
    <x v="3"/>
  </r>
  <r>
    <x v="5"/>
    <x v="2"/>
  </r>
  <r>
    <x v="1"/>
    <x v="3"/>
  </r>
  <r>
    <x v="4"/>
    <x v="4"/>
  </r>
  <r>
    <x v="4"/>
    <x v="1"/>
  </r>
  <r>
    <x v="0"/>
    <x v="1"/>
  </r>
  <r>
    <x v="1"/>
    <x v="2"/>
  </r>
  <r>
    <x v="1"/>
    <x v="3"/>
  </r>
  <r>
    <x v="5"/>
    <x v="1"/>
  </r>
  <r>
    <x v="0"/>
    <x v="1"/>
  </r>
  <r>
    <x v="3"/>
    <x v="2"/>
  </r>
  <r>
    <x v="5"/>
    <x v="4"/>
  </r>
  <r>
    <x v="5"/>
    <x v="2"/>
  </r>
  <r>
    <x v="4"/>
    <x v="1"/>
  </r>
  <r>
    <x v="1"/>
    <x v="0"/>
  </r>
  <r>
    <x v="0"/>
    <x v="1"/>
  </r>
  <r>
    <x v="3"/>
    <x v="3"/>
  </r>
  <r>
    <x v="4"/>
    <x v="0"/>
  </r>
  <r>
    <x v="1"/>
    <x v="4"/>
  </r>
  <r>
    <x v="3"/>
    <x v="1"/>
  </r>
  <r>
    <x v="4"/>
    <x v="0"/>
  </r>
  <r>
    <x v="0"/>
    <x v="1"/>
  </r>
  <r>
    <x v="1"/>
    <x v="2"/>
  </r>
  <r>
    <x v="1"/>
    <x v="3"/>
  </r>
  <r>
    <x v="4"/>
    <x v="3"/>
  </r>
  <r>
    <x v="0"/>
    <x v="2"/>
  </r>
  <r>
    <x v="4"/>
    <x v="0"/>
  </r>
  <r>
    <x v="3"/>
    <x v="4"/>
  </r>
  <r>
    <x v="3"/>
    <x v="2"/>
  </r>
  <r>
    <x v="0"/>
    <x v="2"/>
  </r>
  <r>
    <x v="5"/>
    <x v="4"/>
  </r>
  <r>
    <x v="5"/>
    <x v="2"/>
  </r>
  <r>
    <x v="0"/>
    <x v="1"/>
  </r>
  <r>
    <x v="0"/>
    <x v="2"/>
  </r>
  <r>
    <x v="5"/>
    <x v="4"/>
  </r>
  <r>
    <x v="1"/>
    <x v="2"/>
  </r>
  <r>
    <x v="1"/>
    <x v="1"/>
  </r>
  <r>
    <x v="0"/>
    <x v="2"/>
  </r>
  <r>
    <x v="5"/>
    <x v="0"/>
  </r>
  <r>
    <x v="5"/>
    <x v="4"/>
  </r>
  <r>
    <x v="5"/>
    <x v="4"/>
  </r>
  <r>
    <x v="1"/>
    <x v="4"/>
  </r>
  <r>
    <x v="0"/>
    <x v="3"/>
  </r>
  <r>
    <x v="4"/>
    <x v="1"/>
  </r>
  <r>
    <x v="1"/>
    <x v="0"/>
  </r>
  <r>
    <x v="4"/>
    <x v="1"/>
  </r>
  <r>
    <x v="5"/>
    <x v="0"/>
  </r>
  <r>
    <x v="0"/>
    <x v="3"/>
  </r>
  <r>
    <x v="1"/>
    <x v="1"/>
  </r>
  <r>
    <x v="5"/>
    <x v="3"/>
  </r>
  <r>
    <x v="0"/>
    <x v="3"/>
  </r>
  <r>
    <x v="1"/>
    <x v="1"/>
  </r>
  <r>
    <x v="1"/>
    <x v="2"/>
  </r>
  <r>
    <x v="4"/>
    <x v="2"/>
  </r>
  <r>
    <x v="1"/>
    <x v="0"/>
  </r>
  <r>
    <x v="3"/>
    <x v="3"/>
  </r>
  <r>
    <x v="4"/>
    <x v="1"/>
  </r>
  <r>
    <x v="5"/>
    <x v="0"/>
  </r>
  <r>
    <x v="4"/>
    <x v="0"/>
  </r>
  <r>
    <x v="4"/>
    <x v="1"/>
  </r>
  <r>
    <x v="4"/>
    <x v="2"/>
  </r>
  <r>
    <x v="4"/>
    <x v="2"/>
  </r>
  <r>
    <x v="0"/>
    <x v="3"/>
  </r>
  <r>
    <x v="4"/>
    <x v="1"/>
  </r>
  <r>
    <x v="4"/>
    <x v="2"/>
  </r>
  <r>
    <x v="4"/>
    <x v="4"/>
  </r>
  <r>
    <x v="1"/>
    <x v="4"/>
  </r>
  <r>
    <x v="1"/>
    <x v="3"/>
  </r>
  <r>
    <x v="1"/>
    <x v="0"/>
  </r>
  <r>
    <x v="5"/>
    <x v="2"/>
  </r>
  <r>
    <x v="2"/>
    <x v="1"/>
  </r>
  <r>
    <x v="0"/>
    <x v="4"/>
  </r>
  <r>
    <x v="4"/>
    <x v="2"/>
  </r>
  <r>
    <x v="5"/>
    <x v="3"/>
  </r>
  <r>
    <x v="5"/>
    <x v="1"/>
  </r>
  <r>
    <x v="0"/>
    <x v="2"/>
  </r>
  <r>
    <x v="3"/>
    <x v="0"/>
  </r>
  <r>
    <x v="0"/>
    <x v="1"/>
  </r>
  <r>
    <x v="3"/>
    <x v="4"/>
  </r>
  <r>
    <x v="5"/>
    <x v="4"/>
  </r>
  <r>
    <x v="4"/>
    <x v="3"/>
  </r>
  <r>
    <x v="1"/>
    <x v="2"/>
  </r>
  <r>
    <x v="2"/>
    <x v="4"/>
  </r>
  <r>
    <x v="4"/>
    <x v="4"/>
  </r>
  <r>
    <x v="3"/>
    <x v="3"/>
  </r>
  <r>
    <x v="4"/>
    <x v="3"/>
  </r>
  <r>
    <x v="1"/>
    <x v="4"/>
  </r>
  <r>
    <x v="4"/>
    <x v="1"/>
  </r>
  <r>
    <x v="5"/>
    <x v="3"/>
  </r>
  <r>
    <x v="1"/>
    <x v="1"/>
  </r>
  <r>
    <x v="0"/>
    <x v="3"/>
  </r>
  <r>
    <x v="2"/>
    <x v="0"/>
  </r>
  <r>
    <x v="5"/>
    <x v="1"/>
  </r>
  <r>
    <x v="3"/>
    <x v="3"/>
  </r>
  <r>
    <x v="0"/>
    <x v="1"/>
  </r>
  <r>
    <x v="0"/>
    <x v="2"/>
  </r>
  <r>
    <x v="3"/>
    <x v="1"/>
  </r>
  <r>
    <x v="5"/>
    <x v="0"/>
  </r>
  <r>
    <x v="2"/>
    <x v="4"/>
  </r>
  <r>
    <x v="0"/>
    <x v="3"/>
  </r>
  <r>
    <x v="4"/>
    <x v="0"/>
  </r>
  <r>
    <x v="4"/>
    <x v="3"/>
  </r>
  <r>
    <x v="4"/>
    <x v="4"/>
  </r>
  <r>
    <x v="0"/>
    <x v="1"/>
  </r>
  <r>
    <x v="5"/>
    <x v="4"/>
  </r>
  <r>
    <x v="4"/>
    <x v="4"/>
  </r>
  <r>
    <x v="0"/>
    <x v="0"/>
  </r>
  <r>
    <x v="4"/>
    <x v="2"/>
  </r>
  <r>
    <x v="1"/>
    <x v="4"/>
  </r>
  <r>
    <x v="3"/>
    <x v="4"/>
  </r>
  <r>
    <x v="0"/>
    <x v="3"/>
  </r>
  <r>
    <x v="0"/>
    <x v="0"/>
  </r>
  <r>
    <x v="5"/>
    <x v="0"/>
  </r>
  <r>
    <x v="1"/>
    <x v="3"/>
  </r>
  <r>
    <x v="0"/>
    <x v="1"/>
  </r>
  <r>
    <x v="4"/>
    <x v="1"/>
  </r>
  <r>
    <x v="3"/>
    <x v="0"/>
  </r>
  <r>
    <x v="5"/>
    <x v="0"/>
  </r>
  <r>
    <x v="4"/>
    <x v="4"/>
  </r>
  <r>
    <x v="5"/>
    <x v="0"/>
  </r>
  <r>
    <x v="1"/>
    <x v="3"/>
  </r>
  <r>
    <x v="4"/>
    <x v="4"/>
  </r>
  <r>
    <x v="1"/>
    <x v="3"/>
  </r>
  <r>
    <x v="5"/>
    <x v="2"/>
  </r>
  <r>
    <x v="5"/>
    <x v="0"/>
  </r>
  <r>
    <x v="4"/>
    <x v="3"/>
  </r>
  <r>
    <x v="0"/>
    <x v="0"/>
  </r>
  <r>
    <x v="5"/>
    <x v="2"/>
  </r>
  <r>
    <x v="3"/>
    <x v="3"/>
  </r>
  <r>
    <x v="3"/>
    <x v="0"/>
  </r>
  <r>
    <x v="3"/>
    <x v="3"/>
  </r>
  <r>
    <x v="1"/>
    <x v="2"/>
  </r>
  <r>
    <x v="1"/>
    <x v="0"/>
  </r>
  <r>
    <x v="4"/>
    <x v="0"/>
  </r>
  <r>
    <x v="5"/>
    <x v="3"/>
  </r>
  <r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BDF96-4156-414F-982D-E8990069B78A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6:W35" firstHeaderRow="1" firstDataRow="2" firstDataCol="1"/>
  <pivotFields count="2">
    <pivotField axis="axisRow" showAll="0">
      <items count="8">
        <item x="5"/>
        <item x="4"/>
        <item x="2"/>
        <item x="1"/>
        <item x="0"/>
        <item x="3"/>
        <item x="6"/>
        <item t="default"/>
      </items>
    </pivotField>
    <pivotField axis="axisCol" dataField="1" showAll="0">
      <items count="7">
        <item x="3"/>
        <item x="4"/>
        <item x="0"/>
        <item x="1"/>
        <item x="2"/>
        <item x="5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goFina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8FC80-620A-9349-855F-0DF0AF074751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4:W17" firstHeaderRow="1" firstDataRow="1" firstDataCol="1"/>
  <pivotFields count="6">
    <pivotField showAll="0"/>
    <pivotField showAll="0">
      <items count="19">
        <item x="3"/>
        <item x="4"/>
        <item x="1"/>
        <item x="6"/>
        <item x="14"/>
        <item x="7"/>
        <item x="2"/>
        <item x="12"/>
        <item x="5"/>
        <item x="10"/>
        <item x="9"/>
        <item x="8"/>
        <item x="13"/>
        <item x="16"/>
        <item x="11"/>
        <item x="15"/>
        <item x="0"/>
        <item x="17"/>
        <item t="default"/>
      </items>
    </pivotField>
    <pivotField showAll="0"/>
    <pivotField axis="axisRow" dataField="1" showAll="0">
      <items count="13">
        <item x="3"/>
        <item x="9"/>
        <item x="7"/>
        <item x="10"/>
        <item x="0"/>
        <item x="8"/>
        <item x="1"/>
        <item x="4"/>
        <item x="5"/>
        <item x="2"/>
        <item x="6"/>
        <item x="11"/>
        <item t="default"/>
      </items>
    </pivotField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ag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B0238-2CAF-E94A-9807-397CD385598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4:T19" firstHeaderRow="1" firstDataRow="1" firstDataCol="1"/>
  <pivotFields count="6">
    <pivotField showAll="0"/>
    <pivotField showAll="0">
      <items count="19">
        <item x="3"/>
        <item x="4"/>
        <item x="1"/>
        <item x="6"/>
        <item x="14"/>
        <item x="7"/>
        <item x="2"/>
        <item x="12"/>
        <item x="5"/>
        <item x="10"/>
        <item x="9"/>
        <item x="8"/>
        <item x="13"/>
        <item x="16"/>
        <item x="11"/>
        <item x="15"/>
        <item x="0"/>
        <item x="17"/>
        <item t="default"/>
      </items>
    </pivotField>
    <pivotField axis="axisRow" dataField="1" showAll="0">
      <items count="15">
        <item x="5"/>
        <item x="7"/>
        <item x="10"/>
        <item x="9"/>
        <item x="11"/>
        <item x="3"/>
        <item x="12"/>
        <item x="1"/>
        <item x="0"/>
        <item x="2"/>
        <item x="8"/>
        <item x="6"/>
        <item x="4"/>
        <item x="13"/>
        <item t="default"/>
      </items>
    </pivotField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Mal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E2671-804D-374F-A14B-3859BFA69A1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22" firstHeaderRow="1" firstDataRow="1" firstDataCol="1"/>
  <pivotFields count="6">
    <pivotField showAll="0"/>
    <pivotField axis="axisRow" dataField="1" showAll="0">
      <items count="19">
        <item x="3"/>
        <item x="4"/>
        <item x="1"/>
        <item x="6"/>
        <item x="14"/>
        <item x="7"/>
        <item x="2"/>
        <item x="12"/>
        <item x="5"/>
        <item x="10"/>
        <item x="9"/>
        <item x="8"/>
        <item x="13"/>
        <item x="16"/>
        <item x="11"/>
        <item x="15"/>
        <item x="0"/>
        <item x="1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Loca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abSelected="1" topLeftCell="E1" zoomScaleNormal="100" workbookViewId="0">
      <selection activeCell="G6" sqref="G6"/>
    </sheetView>
  </sheetViews>
  <sheetFormatPr baseColWidth="10" defaultColWidth="10.1640625" defaultRowHeight="15" x14ac:dyDescent="0.2"/>
  <cols>
    <col min="1" max="3" width="16.33203125" customWidth="1"/>
    <col min="4" max="5" width="19" customWidth="1"/>
    <col min="6" max="6" width="15.6640625" customWidth="1"/>
    <col min="8" max="8" width="11.1640625" customWidth="1"/>
    <col min="9" max="9" width="18.5" customWidth="1"/>
    <col min="11" max="11" width="17.5" bestFit="1" customWidth="1"/>
    <col min="12" max="12" width="12" bestFit="1" customWidth="1"/>
    <col min="14" max="14" width="16.83203125" bestFit="1" customWidth="1"/>
    <col min="15" max="15" width="12.5" bestFit="1" customWidth="1"/>
    <col min="16" max="16" width="15.5" bestFit="1" customWidth="1"/>
    <col min="17" max="17" width="14.83203125" bestFit="1" customWidth="1"/>
    <col min="18" max="18" width="6.5" bestFit="1" customWidth="1"/>
    <col min="19" max="19" width="7.33203125" bestFit="1" customWidth="1"/>
    <col min="20" max="20" width="10.1640625" bestFit="1" customWidth="1"/>
    <col min="21" max="21" width="4.33203125" bestFit="1" customWidth="1"/>
    <col min="22" max="22" width="6.33203125" bestFit="1" customWidth="1"/>
    <col min="23" max="24" width="10" bestFit="1" customWidth="1"/>
  </cols>
  <sheetData>
    <row r="1" spans="1:23" x14ac:dyDescent="0.2">
      <c r="A1" t="s">
        <v>0</v>
      </c>
      <c r="B1" t="s">
        <v>510</v>
      </c>
      <c r="C1" t="s">
        <v>511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512</v>
      </c>
      <c r="J1" t="s">
        <v>513</v>
      </c>
      <c r="K1" t="s">
        <v>514</v>
      </c>
      <c r="L1" t="s">
        <v>521</v>
      </c>
      <c r="M1" t="s">
        <v>523</v>
      </c>
      <c r="N1" t="s">
        <v>526</v>
      </c>
    </row>
    <row r="2" spans="1:23" x14ac:dyDescent="0.2">
      <c r="A2" t="s">
        <v>6</v>
      </c>
      <c r="B2" t="str" cm="1">
        <f t="array" ref="B2:C2">_xlfn.TEXTSPLIT(A2,"_")</f>
        <v>Kobe</v>
      </c>
      <c r="C2" t="str">
        <v>Higgins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tr">
        <f>SUBSTITUTE(PROPER(TRIM((D2)))," ","")</f>
        <v>Zara</v>
      </c>
      <c r="J2" t="str">
        <f t="shared" ref="J2:K17" si="0">SUBSTITUTE(PROPER(TRIM((E2)))," ","")</f>
        <v>MallPlazaVespucio</v>
      </c>
      <c r="K2" t="str">
        <f t="shared" si="0"/>
        <v>Efectivo</v>
      </c>
      <c r="L2" t="str" cm="1">
        <f t="array" ref="L2">_xlfn.IFS(J2="AltoLasCondes","MallAltoLasCondes",J2="MallPlazaEgaña","MallPlazaEgana",J2="CencoMallCostanera","CostaneraCenter", TRUE,J2)</f>
        <v>MallPlazaVespucio</v>
      </c>
      <c r="M2" t="str">
        <f>IF(K2="Débito","Debito",K2)</f>
        <v>Efectivo</v>
      </c>
      <c r="N2" t="str">
        <f>LEFT(H2,3)</f>
        <v>RET</v>
      </c>
    </row>
    <row r="3" spans="1:23" x14ac:dyDescent="0.2">
      <c r="A3" t="s">
        <v>12</v>
      </c>
      <c r="B3" t="str" cm="1">
        <f t="array" ref="B3:C3">_xlfn.TEXTSPLIT(A3,"_")</f>
        <v>Antonia</v>
      </c>
      <c r="C3" t="str">
        <v>Prieto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tr">
        <f t="shared" ref="I3:I66" si="1">SUBSTITUTE(PROPER(TRIM((D3)))," ","")</f>
        <v>Falabella</v>
      </c>
      <c r="J3" t="str">
        <f t="shared" si="0"/>
        <v>MallPlazaEgaña</v>
      </c>
      <c r="K3" t="str">
        <f t="shared" si="0"/>
        <v>MasterCard</v>
      </c>
      <c r="L3" t="str" cm="1">
        <f t="array" ref="L3">_xlfn.IFS(J3="AltoLasCondes","MallAltoLasCondes",J3="MallPlazaEgaña","MallPlazaEgana",J3="CencoMallCostanera","CostaneraCenter", TRUE,J3)</f>
        <v>MallPlazaEgana</v>
      </c>
      <c r="M3" t="str">
        <f t="shared" ref="M3:M66" si="2">IF(K3="Débito","Debito",K3)</f>
        <v>MasterCard</v>
      </c>
      <c r="N3" t="str">
        <f>LEFT(H3,3)</f>
        <v>RET</v>
      </c>
      <c r="P3" s="1" t="s">
        <v>504</v>
      </c>
      <c r="Q3" t="s">
        <v>507</v>
      </c>
    </row>
    <row r="4" spans="1:23" x14ac:dyDescent="0.2">
      <c r="A4" t="s">
        <v>18</v>
      </c>
      <c r="B4" t="str" cm="1">
        <f t="array" ref="B4:C4">_xlfn.TEXTSPLIT(A4,"_")</f>
        <v>Xander</v>
      </c>
      <c r="C4" t="str">
        <v>Knight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tr">
        <f t="shared" si="1"/>
        <v>Falabella</v>
      </c>
      <c r="J4" t="str">
        <f t="shared" si="0"/>
        <v>MallPlazaVespucio</v>
      </c>
      <c r="K4" t="str">
        <f t="shared" si="0"/>
        <v>Visa</v>
      </c>
      <c r="L4" t="str" cm="1">
        <f t="array" ref="L4">_xlfn.IFS(J4="AltoLasCondes","MallAltoLasCondes",J4="MallPlazaEgaña","MallPlazaEgana",J4="CencoMallCostanera","CostaneraCenter", TRUE,J4)</f>
        <v>MallPlazaVespucio</v>
      </c>
      <c r="M4" t="str">
        <f t="shared" si="2"/>
        <v>Visa</v>
      </c>
      <c r="P4" s="2" t="s">
        <v>35</v>
      </c>
      <c r="Q4" s="3">
        <v>29</v>
      </c>
      <c r="S4" s="1" t="s">
        <v>504</v>
      </c>
      <c r="T4" t="s">
        <v>508</v>
      </c>
      <c r="V4" s="1" t="s">
        <v>504</v>
      </c>
      <c r="W4" t="s">
        <v>509</v>
      </c>
    </row>
    <row r="5" spans="1:23" x14ac:dyDescent="0.2">
      <c r="A5" t="s">
        <v>24</v>
      </c>
      <c r="B5" t="str" cm="1">
        <f t="array" ref="B5:C5">_xlfn.TEXTSPLIT(A5,"_")</f>
        <v>Dante</v>
      </c>
      <c r="C5" t="str">
        <v>Morrow</v>
      </c>
      <c r="D5" t="s">
        <v>19</v>
      </c>
      <c r="E5" t="s">
        <v>25</v>
      </c>
      <c r="F5" t="s">
        <v>26</v>
      </c>
      <c r="G5" t="s">
        <v>27</v>
      </c>
      <c r="H5" t="s">
        <v>28</v>
      </c>
      <c r="I5" t="str">
        <f t="shared" si="1"/>
        <v>Falabella</v>
      </c>
      <c r="J5" t="str">
        <f t="shared" si="0"/>
        <v>MallParqueArauco</v>
      </c>
      <c r="K5" t="str">
        <f t="shared" si="0"/>
        <v>AmericanExpress</v>
      </c>
      <c r="L5" t="str" cm="1">
        <f t="array" ref="L5">_xlfn.IFS(J5="AltoLasCondes","MallAltoLasCondes",J5="MallPlazaEgaña","MallPlazaEgana",J5="CencoMallCostanera","CostaneraCenter", TRUE,J5)</f>
        <v>MallParqueArauco</v>
      </c>
      <c r="M5" t="str">
        <f t="shared" si="2"/>
        <v>AmericanExpress</v>
      </c>
      <c r="P5" s="2" t="s">
        <v>46</v>
      </c>
      <c r="Q5" s="3">
        <v>9</v>
      </c>
      <c r="S5" s="2" t="s">
        <v>42</v>
      </c>
      <c r="T5" s="3">
        <v>47</v>
      </c>
      <c r="V5" s="2" t="s">
        <v>26</v>
      </c>
      <c r="W5" s="3">
        <v>47</v>
      </c>
    </row>
    <row r="6" spans="1:23" x14ac:dyDescent="0.2">
      <c r="A6" t="s">
        <v>29</v>
      </c>
      <c r="B6" t="str" cm="1">
        <f t="array" ref="B6:C6">_xlfn.TEXTSPLIT(A6,"_")</f>
        <v>Lucas</v>
      </c>
      <c r="C6" t="str">
        <v>Echeverría</v>
      </c>
      <c r="D6" t="s">
        <v>30</v>
      </c>
      <c r="E6" t="s">
        <v>31</v>
      </c>
      <c r="F6" t="s">
        <v>26</v>
      </c>
      <c r="G6" t="s">
        <v>32</v>
      </c>
      <c r="H6" t="s">
        <v>33</v>
      </c>
      <c r="I6" t="str">
        <f t="shared" si="1"/>
        <v>Jumbo</v>
      </c>
      <c r="J6" t="str">
        <f t="shared" si="0"/>
        <v>ParqueArauco</v>
      </c>
      <c r="K6" t="str">
        <f t="shared" si="0"/>
        <v>AmericanExpress</v>
      </c>
      <c r="L6" t="str" cm="1">
        <f t="array" ref="L6">_xlfn.IFS(J6="AltoLasCondes","MallAltoLasCondes",J6="MallPlazaEgaña","MallPlazaEgana",J6="CencoMallCostanera","CostaneraCenter", TRUE,J6)</f>
        <v>ParqueArauco</v>
      </c>
      <c r="M6" t="str">
        <f t="shared" si="2"/>
        <v>AmericanExpress</v>
      </c>
      <c r="P6" s="2" t="s">
        <v>13</v>
      </c>
      <c r="Q6" s="3">
        <v>31</v>
      </c>
      <c r="S6" s="2" t="s">
        <v>67</v>
      </c>
      <c r="T6" s="3">
        <v>39</v>
      </c>
      <c r="V6" s="2" t="s">
        <v>147</v>
      </c>
      <c r="W6" s="3">
        <v>21</v>
      </c>
    </row>
    <row r="7" spans="1:23" x14ac:dyDescent="0.2">
      <c r="A7" t="s">
        <v>34</v>
      </c>
      <c r="B7" t="str" cm="1">
        <f t="array" ref="B7:C7">_xlfn.TEXTSPLIT(A7,"_")</f>
        <v>Thaddeus</v>
      </c>
      <c r="C7" t="str">
        <v>Vance</v>
      </c>
      <c r="D7" t="s">
        <v>35</v>
      </c>
      <c r="E7" t="s">
        <v>8</v>
      </c>
      <c r="F7" t="s">
        <v>36</v>
      </c>
      <c r="G7" t="s">
        <v>37</v>
      </c>
      <c r="H7" t="s">
        <v>38</v>
      </c>
      <c r="I7" t="str">
        <f t="shared" si="1"/>
        <v>Easy</v>
      </c>
      <c r="J7" t="str">
        <f t="shared" si="0"/>
        <v>MallPlazaVespucio</v>
      </c>
      <c r="K7" t="str">
        <f t="shared" si="0"/>
        <v>MasterCard</v>
      </c>
      <c r="L7" t="str" cm="1">
        <f t="array" ref="L7">_xlfn.IFS(J7="AltoLasCondes","MallAltoLasCondes",J7="MallPlazaEgaña","MallPlazaEgana",J7="CencoMallCostanera","CostaneraCenter", TRUE,J7)</f>
        <v>MallPlazaVespucio</v>
      </c>
      <c r="M7" t="str">
        <f t="shared" si="2"/>
        <v>MasterCard</v>
      </c>
      <c r="P7" s="2" t="s">
        <v>63</v>
      </c>
      <c r="Q7" s="3">
        <v>17</v>
      </c>
      <c r="S7" s="2" t="s">
        <v>121</v>
      </c>
      <c r="T7" s="3">
        <v>21</v>
      </c>
      <c r="V7" s="2" t="s">
        <v>60</v>
      </c>
      <c r="W7" s="3">
        <v>42</v>
      </c>
    </row>
    <row r="8" spans="1:23" x14ac:dyDescent="0.2">
      <c r="A8" t="s">
        <v>29</v>
      </c>
      <c r="B8" t="str" cm="1">
        <f t="array" ref="B8:C8">_xlfn.TEXTSPLIT(A8,"_")</f>
        <v>Lucas</v>
      </c>
      <c r="C8" t="str">
        <v>Echeverría</v>
      </c>
      <c r="D8" t="s">
        <v>19</v>
      </c>
      <c r="E8" t="s">
        <v>20</v>
      </c>
      <c r="F8" t="s">
        <v>26</v>
      </c>
      <c r="G8" t="s">
        <v>39</v>
      </c>
      <c r="H8" t="s">
        <v>40</v>
      </c>
      <c r="I8" t="str">
        <f t="shared" si="1"/>
        <v>Falabella</v>
      </c>
      <c r="J8" t="str">
        <f t="shared" si="0"/>
        <v>MallPlazaVespucio</v>
      </c>
      <c r="K8" t="str">
        <f t="shared" si="0"/>
        <v>AmericanExpress</v>
      </c>
      <c r="L8" t="str" cm="1">
        <f t="array" ref="L8">_xlfn.IFS(J8="AltoLasCondes","MallAltoLasCondes",J8="MallPlazaEgaña","MallPlazaEgana",J8="CencoMallCostanera","CostaneraCenter", TRUE,J8)</f>
        <v>MallPlazaVespucio</v>
      </c>
      <c r="M8" t="str">
        <f t="shared" si="2"/>
        <v>AmericanExpress</v>
      </c>
      <c r="P8" s="2" t="s">
        <v>146</v>
      </c>
      <c r="Q8" s="3">
        <v>9</v>
      </c>
      <c r="S8" s="2" t="s">
        <v>91</v>
      </c>
      <c r="T8" s="3">
        <v>13</v>
      </c>
      <c r="V8" s="2" t="s">
        <v>156</v>
      </c>
      <c r="W8" s="3">
        <v>13</v>
      </c>
    </row>
    <row r="9" spans="1:23" x14ac:dyDescent="0.2">
      <c r="A9" t="s">
        <v>41</v>
      </c>
      <c r="B9" t="str" cm="1">
        <f t="array" ref="B9:C9">_xlfn.TEXTSPLIT(A9,"_")</f>
        <v>Isidora</v>
      </c>
      <c r="C9" t="str">
        <v>Pinto</v>
      </c>
      <c r="D9" t="s">
        <v>7</v>
      </c>
      <c r="E9" t="s">
        <v>42</v>
      </c>
      <c r="F9" t="s">
        <v>43</v>
      </c>
      <c r="G9" t="s">
        <v>44</v>
      </c>
      <c r="H9" t="s">
        <v>45</v>
      </c>
      <c r="I9" t="str">
        <f t="shared" si="1"/>
        <v>Zara</v>
      </c>
      <c r="J9" t="str">
        <f t="shared" si="0"/>
        <v>AltoLasCondes</v>
      </c>
      <c r="K9" t="str">
        <f t="shared" si="0"/>
        <v>Mastercard</v>
      </c>
      <c r="L9" t="str" cm="1">
        <f t="array" ref="L9">_xlfn.IFS(J9="AltoLasCondes","MallAltoLasCondes",J9="MallPlazaEgaña","MallPlazaEgana",J9="CencoMallCostanera","CostaneraCenter", TRUE,J9)</f>
        <v>MallAltoLasCondes</v>
      </c>
      <c r="M9" t="str">
        <f t="shared" si="2"/>
        <v>Mastercard</v>
      </c>
      <c r="P9" s="2" t="s">
        <v>71</v>
      </c>
      <c r="Q9" s="3">
        <v>30</v>
      </c>
      <c r="S9" s="2" t="s">
        <v>126</v>
      </c>
      <c r="T9" s="3">
        <v>16</v>
      </c>
      <c r="V9" s="2" t="s">
        <v>9</v>
      </c>
      <c r="W9" s="3">
        <v>34</v>
      </c>
    </row>
    <row r="10" spans="1:23" x14ac:dyDescent="0.2">
      <c r="A10" t="s">
        <v>6</v>
      </c>
      <c r="B10" t="str" cm="1">
        <f t="array" ref="B10:C10">_xlfn.TEXTSPLIT(A10,"_")</f>
        <v>Kobe</v>
      </c>
      <c r="C10" t="str">
        <v>Higgins</v>
      </c>
      <c r="D10" t="s">
        <v>46</v>
      </c>
      <c r="E10" t="s">
        <v>42</v>
      </c>
      <c r="F10" t="s">
        <v>43</v>
      </c>
      <c r="G10" t="s">
        <v>47</v>
      </c>
      <c r="H10" t="s">
        <v>48</v>
      </c>
      <c r="I10" t="str">
        <f t="shared" si="1"/>
        <v>Easy</v>
      </c>
      <c r="J10" t="str">
        <f t="shared" si="0"/>
        <v>AltoLasCondes</v>
      </c>
      <c r="K10" t="str">
        <f t="shared" si="0"/>
        <v>Mastercard</v>
      </c>
      <c r="L10" t="str" cm="1">
        <f t="array" ref="L10">_xlfn.IFS(J10="AltoLasCondes","MallAltoLasCondes",J10="MallPlazaEgaña","MallPlazaEgana",J10="CencoMallCostanera","CostaneraCenter", TRUE,J10)</f>
        <v>MallAltoLasCondes</v>
      </c>
      <c r="M10" t="str">
        <f t="shared" si="2"/>
        <v>Mastercard</v>
      </c>
      <c r="P10" s="2" t="s">
        <v>30</v>
      </c>
      <c r="Q10" s="3">
        <v>8</v>
      </c>
      <c r="S10" s="2" t="s">
        <v>25</v>
      </c>
      <c r="T10" s="3">
        <v>17</v>
      </c>
      <c r="V10" s="2" t="s">
        <v>92</v>
      </c>
      <c r="W10" s="3">
        <v>14</v>
      </c>
    </row>
    <row r="11" spans="1:23" x14ac:dyDescent="0.2">
      <c r="A11" t="s">
        <v>49</v>
      </c>
      <c r="B11" t="str" cm="1">
        <f t="array" ref="B11:C11">_xlfn.TEXTSPLIT(A11,"_")</f>
        <v>Talia</v>
      </c>
      <c r="C11" t="str">
        <v>Cuevas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tr">
        <f t="shared" si="1"/>
        <v>Easy</v>
      </c>
      <c r="J11" t="str">
        <f t="shared" si="0"/>
        <v>MallplazaVespucio</v>
      </c>
      <c r="K11" t="str">
        <f t="shared" si="0"/>
        <v>Visa</v>
      </c>
      <c r="L11" t="str" cm="1">
        <f t="array" ref="L11">_xlfn.IFS(J11="AltoLasCondes","MallAltoLasCondes",J11="MallPlazaEgaña","MallPlazaEgana",J11="CencoMallCostanera","CostaneraCenter", TRUE,J11)</f>
        <v>MallplazaVespucio</v>
      </c>
      <c r="M11" t="str">
        <f t="shared" si="2"/>
        <v>Visa</v>
      </c>
      <c r="P11" s="2" t="s">
        <v>102</v>
      </c>
      <c r="Q11" s="3">
        <v>23</v>
      </c>
      <c r="S11" s="2" t="s">
        <v>216</v>
      </c>
      <c r="T11" s="3">
        <v>16</v>
      </c>
      <c r="V11" s="2" t="s">
        <v>15</v>
      </c>
      <c r="W11" s="3">
        <v>32</v>
      </c>
    </row>
    <row r="12" spans="1:23" x14ac:dyDescent="0.2">
      <c r="A12" t="s">
        <v>55</v>
      </c>
      <c r="B12" t="str" cm="1">
        <f t="array" ref="B12:C12">_xlfn.TEXTSPLIT(A12,"_")</f>
        <v>Nicolás</v>
      </c>
      <c r="C12" t="str">
        <v>Olea</v>
      </c>
      <c r="D12" t="s">
        <v>56</v>
      </c>
      <c r="E12" t="s">
        <v>42</v>
      </c>
      <c r="F12" t="s">
        <v>57</v>
      </c>
      <c r="G12" t="s">
        <v>22</v>
      </c>
      <c r="H12" t="s">
        <v>58</v>
      </c>
      <c r="I12" t="str">
        <f t="shared" si="1"/>
        <v>París</v>
      </c>
      <c r="J12" t="str">
        <f t="shared" si="0"/>
        <v>AltoLasCondes</v>
      </c>
      <c r="K12" t="str">
        <f t="shared" si="0"/>
        <v>Efectivo</v>
      </c>
      <c r="L12" t="str" cm="1">
        <f t="array" ref="L12">_xlfn.IFS(J12="AltoLasCondes","MallAltoLasCondes",J12="MallPlazaEgaña","MallPlazaEgana",J12="CencoMallCostanera","CostaneraCenter", TRUE,J12)</f>
        <v>MallAltoLasCondes</v>
      </c>
      <c r="M12" t="str">
        <f t="shared" si="2"/>
        <v>Efectivo</v>
      </c>
      <c r="P12" s="2" t="s">
        <v>56</v>
      </c>
      <c r="Q12" s="3">
        <v>8</v>
      </c>
      <c r="S12" s="2" t="s">
        <v>14</v>
      </c>
      <c r="T12" s="3">
        <v>21</v>
      </c>
      <c r="V12" s="2" t="s">
        <v>36</v>
      </c>
      <c r="W12" s="3">
        <v>16</v>
      </c>
    </row>
    <row r="13" spans="1:23" x14ac:dyDescent="0.2">
      <c r="A13" t="s">
        <v>55</v>
      </c>
      <c r="B13" t="str" cm="1">
        <f t="array" ref="B13:C13">_xlfn.TEXTSPLIT(A13,"_")</f>
        <v>Nicolás</v>
      </c>
      <c r="C13" t="str">
        <v>Olea</v>
      </c>
      <c r="D13" t="s">
        <v>7</v>
      </c>
      <c r="E13" t="s">
        <v>59</v>
      </c>
      <c r="F13" t="s">
        <v>60</v>
      </c>
      <c r="G13" t="s">
        <v>61</v>
      </c>
      <c r="H13" t="s">
        <v>62</v>
      </c>
      <c r="I13" t="str">
        <f t="shared" si="1"/>
        <v>Zara</v>
      </c>
      <c r="J13" t="str">
        <f t="shared" si="0"/>
        <v>AltoLasCondes</v>
      </c>
      <c r="K13" t="str">
        <f t="shared" si="0"/>
        <v>Debito</v>
      </c>
      <c r="L13" t="str" cm="1">
        <f t="array" ref="L13">_xlfn.IFS(J13="AltoLasCondes","MallAltoLasCondes",J13="MallPlazaEgaña","MallPlazaEgana",J13="CencoMallCostanera","CostaneraCenter", TRUE,J13)</f>
        <v>MallAltoLasCondes</v>
      </c>
      <c r="M13" t="str">
        <f t="shared" si="2"/>
        <v>Debito</v>
      </c>
      <c r="P13" s="2" t="s">
        <v>90</v>
      </c>
      <c r="Q13" s="3">
        <v>12</v>
      </c>
      <c r="S13" s="2" t="s">
        <v>8</v>
      </c>
      <c r="T13" s="3">
        <v>22</v>
      </c>
      <c r="V13" s="2" t="s">
        <v>43</v>
      </c>
      <c r="W13" s="3">
        <v>20</v>
      </c>
    </row>
    <row r="14" spans="1:23" x14ac:dyDescent="0.2">
      <c r="A14" t="s">
        <v>55</v>
      </c>
      <c r="B14" t="str" cm="1">
        <f t="array" ref="B14:C14">_xlfn.TEXTSPLIT(A14,"_")</f>
        <v>Nicolás</v>
      </c>
      <c r="C14" t="str">
        <v>Olea</v>
      </c>
      <c r="D14" t="s">
        <v>63</v>
      </c>
      <c r="E14" t="s">
        <v>42</v>
      </c>
      <c r="F14" t="s">
        <v>26</v>
      </c>
      <c r="G14" t="s">
        <v>64</v>
      </c>
      <c r="H14" t="s">
        <v>65</v>
      </c>
      <c r="I14" t="str">
        <f t="shared" si="1"/>
        <v>H&amp;M</v>
      </c>
      <c r="J14" t="str">
        <f t="shared" si="0"/>
        <v>AltoLasCondes</v>
      </c>
      <c r="K14" t="str">
        <f t="shared" si="0"/>
        <v>AmericanExpress</v>
      </c>
      <c r="L14" t="str" cm="1">
        <f t="array" ref="L14">_xlfn.IFS(J14="AltoLasCondes","MallAltoLasCondes",J14="MallPlazaEgaña","MallPlazaEgana",J14="CencoMallCostanera","CostaneraCenter", TRUE,J14)</f>
        <v>MallAltoLasCondes</v>
      </c>
      <c r="M14" t="str">
        <f t="shared" si="2"/>
        <v>AmericanExpress</v>
      </c>
      <c r="P14" s="2" t="s">
        <v>82</v>
      </c>
      <c r="Q14" s="3">
        <v>45</v>
      </c>
      <c r="S14" s="2" t="s">
        <v>20</v>
      </c>
      <c r="T14" s="3">
        <v>19</v>
      </c>
      <c r="V14" s="2" t="s">
        <v>21</v>
      </c>
      <c r="W14" s="3">
        <v>48</v>
      </c>
    </row>
    <row r="15" spans="1:23" x14ac:dyDescent="0.2">
      <c r="A15" t="s">
        <v>66</v>
      </c>
      <c r="B15" t="str" cm="1">
        <f t="array" ref="B15:C15">_xlfn.TEXTSPLIT(A15,"_")</f>
        <v>Priscilia</v>
      </c>
      <c r="C15" t="str">
        <v>Welch</v>
      </c>
      <c r="D15" t="s">
        <v>46</v>
      </c>
      <c r="E15" t="s">
        <v>67</v>
      </c>
      <c r="F15" t="s">
        <v>60</v>
      </c>
      <c r="G15" t="s">
        <v>68</v>
      </c>
      <c r="H15" t="s">
        <v>69</v>
      </c>
      <c r="I15" t="str">
        <f t="shared" si="1"/>
        <v>Easy</v>
      </c>
      <c r="J15" t="str">
        <f t="shared" si="0"/>
        <v>CencoMallCostanera</v>
      </c>
      <c r="K15" t="str">
        <f t="shared" si="0"/>
        <v>Debito</v>
      </c>
      <c r="L15" t="str" cm="1">
        <f t="array" ref="L15">_xlfn.IFS(J15="AltoLasCondes","MallAltoLasCondes",J15="MallPlazaEgaña","MallPlazaEgana",J15="CencoMallCostanera","CostaneraCenter", TRUE,J15)</f>
        <v>CostaneraCenter</v>
      </c>
      <c r="M15" t="str">
        <f t="shared" si="2"/>
        <v>Debito</v>
      </c>
      <c r="P15" s="2" t="s">
        <v>78</v>
      </c>
      <c r="Q15" s="3">
        <v>25</v>
      </c>
      <c r="S15" s="2" t="s">
        <v>83</v>
      </c>
      <c r="T15" s="3">
        <v>18</v>
      </c>
      <c r="V15" s="2" t="s">
        <v>52</v>
      </c>
      <c r="W15" s="3">
        <v>13</v>
      </c>
    </row>
    <row r="16" spans="1:23" x14ac:dyDescent="0.2">
      <c r="A16" t="s">
        <v>70</v>
      </c>
      <c r="B16" t="str" cm="1">
        <f t="array" ref="B16:C16">_xlfn.TEXTSPLIT(A16,"_")</f>
        <v>Liora</v>
      </c>
      <c r="C16" t="str">
        <v>Pace</v>
      </c>
      <c r="D16" t="s">
        <v>71</v>
      </c>
      <c r="E16" t="s">
        <v>20</v>
      </c>
      <c r="F16" t="s">
        <v>52</v>
      </c>
      <c r="G16" t="s">
        <v>72</v>
      </c>
      <c r="H16" t="s">
        <v>73</v>
      </c>
      <c r="I16" t="str">
        <f t="shared" si="1"/>
        <v>Jumbo</v>
      </c>
      <c r="J16" t="str">
        <f t="shared" si="0"/>
        <v>MallPlazaVespucio</v>
      </c>
      <c r="K16" t="str">
        <f t="shared" si="0"/>
        <v>Visa</v>
      </c>
      <c r="L16" t="str" cm="1">
        <f t="array" ref="L16">_xlfn.IFS(J16="AltoLasCondes","MallAltoLasCondes",J16="MallPlazaEgaña","MallPlazaEgana",J16="CencoMallCostanera","CostaneraCenter", TRUE,J16)</f>
        <v>MallPlazaVespucio</v>
      </c>
      <c r="M16" t="str">
        <f t="shared" si="2"/>
        <v>Visa</v>
      </c>
      <c r="N16" t="str">
        <f t="shared" ref="N16:N17" si="3">LEFT(H16,3)</f>
        <v>AUX</v>
      </c>
      <c r="P16" s="2" t="s">
        <v>129</v>
      </c>
      <c r="Q16" s="3">
        <v>8</v>
      </c>
      <c r="S16" s="2" t="s">
        <v>51</v>
      </c>
      <c r="T16" s="3">
        <v>16</v>
      </c>
      <c r="V16" s="2" t="s">
        <v>505</v>
      </c>
      <c r="W16" s="3"/>
    </row>
    <row r="17" spans="1:23" x14ac:dyDescent="0.2">
      <c r="A17" t="s">
        <v>6</v>
      </c>
      <c r="B17" t="str" cm="1">
        <f t="array" ref="B17:C17">_xlfn.TEXTSPLIT(A17,"_")</f>
        <v>Kobe</v>
      </c>
      <c r="C17" t="str">
        <v>Higgins</v>
      </c>
      <c r="D17" t="s">
        <v>74</v>
      </c>
      <c r="E17" t="s">
        <v>67</v>
      </c>
      <c r="F17" t="s">
        <v>75</v>
      </c>
      <c r="G17" t="s">
        <v>76</v>
      </c>
      <c r="H17" t="s">
        <v>77</v>
      </c>
      <c r="I17" t="str">
        <f t="shared" si="1"/>
        <v>Jumbo</v>
      </c>
      <c r="J17" t="str">
        <f t="shared" si="0"/>
        <v>CencoMallCostanera</v>
      </c>
      <c r="K17" t="str">
        <f t="shared" si="0"/>
        <v>Debito</v>
      </c>
      <c r="L17" t="str" cm="1">
        <f t="array" ref="L17">_xlfn.IFS(J17="AltoLasCondes","MallAltoLasCondes",J17="MallPlazaEgaña","MallPlazaEgana",J17="CencoMallCostanera","CostaneraCenter", TRUE,J17)</f>
        <v>CostaneraCenter</v>
      </c>
      <c r="M17" t="str">
        <f t="shared" si="2"/>
        <v>Debito</v>
      </c>
      <c r="N17" t="str">
        <f t="shared" si="3"/>
        <v>RET</v>
      </c>
      <c r="P17" s="2" t="s">
        <v>295</v>
      </c>
      <c r="Q17" s="3">
        <v>13</v>
      </c>
      <c r="S17" s="2" t="s">
        <v>31</v>
      </c>
      <c r="T17" s="3">
        <v>35</v>
      </c>
      <c r="V17" s="2" t="s">
        <v>506</v>
      </c>
      <c r="W17" s="3">
        <v>300</v>
      </c>
    </row>
    <row r="18" spans="1:23" x14ac:dyDescent="0.2">
      <c r="A18" t="s">
        <v>24</v>
      </c>
      <c r="B18" t="str" cm="1">
        <f t="array" ref="B18:C18">_xlfn.TEXTSPLIT(A18,"_")</f>
        <v>Dante</v>
      </c>
      <c r="C18" t="str">
        <v>Morrow</v>
      </c>
      <c r="D18" t="s">
        <v>78</v>
      </c>
      <c r="E18" t="s">
        <v>79</v>
      </c>
      <c r="F18" t="s">
        <v>75</v>
      </c>
      <c r="G18" t="s">
        <v>80</v>
      </c>
      <c r="H18" t="s">
        <v>81</v>
      </c>
      <c r="I18" t="str">
        <f t="shared" si="1"/>
        <v>SantaIsabel</v>
      </c>
      <c r="J18" t="str">
        <f t="shared" ref="J18:J81" si="4">SUBSTITUTE(PROPER(TRIM((E18)))," ","")</f>
        <v>ParqueArauco</v>
      </c>
      <c r="K18" t="str">
        <f t="shared" ref="K18:K81" si="5">SUBSTITUTE(PROPER(TRIM((F18)))," ","")</f>
        <v>Debito</v>
      </c>
      <c r="L18" t="str" cm="1">
        <f t="array" ref="L18">_xlfn.IFS(J18="AltoLasCondes","MallAltoLasCondes",J18="MallPlazaEgaña","MallPlazaEgana",J18="CencoMallCostanera","CostaneraCenter", TRUE,J18)</f>
        <v>ParqueArauco</v>
      </c>
      <c r="M18" t="str">
        <f t="shared" si="2"/>
        <v>Debito</v>
      </c>
      <c r="P18" s="2" t="s">
        <v>96</v>
      </c>
      <c r="Q18" s="3">
        <v>8</v>
      </c>
      <c r="S18" s="2" t="s">
        <v>505</v>
      </c>
      <c r="T18" s="3"/>
    </row>
    <row r="19" spans="1:23" x14ac:dyDescent="0.2">
      <c r="A19" t="s">
        <v>34</v>
      </c>
      <c r="B19" t="str" cm="1">
        <f t="array" ref="B19:C19">_xlfn.TEXTSPLIT(A19,"_")</f>
        <v>Thaddeus</v>
      </c>
      <c r="C19" t="str">
        <v>Vance</v>
      </c>
      <c r="D19" t="s">
        <v>82</v>
      </c>
      <c r="E19" t="s">
        <v>83</v>
      </c>
      <c r="F19" t="s">
        <v>75</v>
      </c>
      <c r="G19" t="s">
        <v>84</v>
      </c>
      <c r="H19" t="s">
        <v>85</v>
      </c>
      <c r="I19" t="str">
        <f t="shared" si="1"/>
        <v>Ripley</v>
      </c>
      <c r="J19" t="str">
        <f t="shared" si="4"/>
        <v>MallplazaEgaña</v>
      </c>
      <c r="K19" t="str">
        <f t="shared" si="5"/>
        <v>Debito</v>
      </c>
      <c r="L19" t="str" cm="1">
        <f t="array" ref="L19">_xlfn.IFS(J19="AltoLasCondes","MallAltoLasCondes",J19="MallPlazaEgaña","MallPlazaEgana",J19="CencoMallCostanera","CostaneraCenter", TRUE,J19)</f>
        <v>MallPlazaEgana</v>
      </c>
      <c r="M19" t="str">
        <f t="shared" si="2"/>
        <v>Debito</v>
      </c>
      <c r="P19" s="2" t="s">
        <v>165</v>
      </c>
      <c r="Q19" s="3">
        <v>12</v>
      </c>
      <c r="S19" s="2" t="s">
        <v>506</v>
      </c>
      <c r="T19" s="3">
        <v>300</v>
      </c>
    </row>
    <row r="20" spans="1:23" x14ac:dyDescent="0.2">
      <c r="A20" t="s">
        <v>34</v>
      </c>
      <c r="B20" t="str" cm="1">
        <f t="array" ref="B20:C20">_xlfn.TEXTSPLIT(A20,"_")</f>
        <v>Thaddeus</v>
      </c>
      <c r="C20" t="str">
        <v>Vance</v>
      </c>
      <c r="D20" t="s">
        <v>35</v>
      </c>
      <c r="E20" t="s">
        <v>86</v>
      </c>
      <c r="F20" t="s">
        <v>87</v>
      </c>
      <c r="G20" t="s">
        <v>68</v>
      </c>
      <c r="H20" t="s">
        <v>88</v>
      </c>
      <c r="I20" t="str">
        <f t="shared" si="1"/>
        <v>Easy</v>
      </c>
      <c r="J20" t="str">
        <f t="shared" si="4"/>
        <v>CencoMallCostanera</v>
      </c>
      <c r="K20" t="str">
        <f t="shared" si="5"/>
        <v>Visa</v>
      </c>
      <c r="L20" t="str" cm="1">
        <f t="array" ref="L20">_xlfn.IFS(J20="AltoLasCondes","MallAltoLasCondes",J20="MallPlazaEgaña","MallPlazaEgana",J20="CencoMallCostanera","CostaneraCenter", TRUE,J20)</f>
        <v>CostaneraCenter</v>
      </c>
      <c r="M20" t="str">
        <f t="shared" si="2"/>
        <v>Visa</v>
      </c>
      <c r="P20" s="2" t="s">
        <v>7</v>
      </c>
      <c r="Q20" s="3">
        <v>13</v>
      </c>
    </row>
    <row r="21" spans="1:23" x14ac:dyDescent="0.2">
      <c r="A21" t="s">
        <v>89</v>
      </c>
      <c r="B21" t="str" cm="1">
        <f t="array" ref="B21:C21">_xlfn.TEXTSPLIT(A21,"_")</f>
        <v>Seraphina</v>
      </c>
      <c r="C21" t="str">
        <v>Moon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tr">
        <f t="shared" si="1"/>
        <v>Paris</v>
      </c>
      <c r="J21" t="str">
        <f t="shared" si="4"/>
        <v>CostaneraCenter</v>
      </c>
      <c r="K21" t="str">
        <f t="shared" si="5"/>
        <v>Efectivo</v>
      </c>
      <c r="L21" t="str" cm="1">
        <f t="array" ref="L21">_xlfn.IFS(J21="AltoLasCondes","MallAltoLasCondes",J21="MallPlazaEgaña","MallPlazaEgana",J21="CencoMallCostanera","CostaneraCenter", TRUE,J21)</f>
        <v>CostaneraCenter</v>
      </c>
      <c r="M21" t="str">
        <f t="shared" si="2"/>
        <v>Efectivo</v>
      </c>
      <c r="P21" s="2" t="s">
        <v>505</v>
      </c>
      <c r="Q21" s="3"/>
    </row>
    <row r="22" spans="1:23" x14ac:dyDescent="0.2">
      <c r="A22" t="s">
        <v>95</v>
      </c>
      <c r="B22" t="str" cm="1">
        <f t="array" ref="B22:C22">_xlfn.TEXTSPLIT(A22,"_")</f>
        <v>Javiera</v>
      </c>
      <c r="C22" t="str">
        <v>Lorca</v>
      </c>
      <c r="D22" t="s">
        <v>96</v>
      </c>
      <c r="E22" t="s">
        <v>20</v>
      </c>
      <c r="F22" t="s">
        <v>36</v>
      </c>
      <c r="G22" t="s">
        <v>47</v>
      </c>
      <c r="H22" t="s">
        <v>97</v>
      </c>
      <c r="I22" t="str">
        <f t="shared" si="1"/>
        <v>SodimacHomecenter</v>
      </c>
      <c r="J22" t="str">
        <f t="shared" si="4"/>
        <v>MallPlazaVespucio</v>
      </c>
      <c r="K22" t="str">
        <f t="shared" si="5"/>
        <v>MasterCard</v>
      </c>
      <c r="L22" t="str" cm="1">
        <f t="array" ref="L22">_xlfn.IFS(J22="AltoLasCondes","MallAltoLasCondes",J22="MallPlazaEgaña","MallPlazaEgana",J22="CencoMallCostanera","CostaneraCenter", TRUE,J22)</f>
        <v>MallPlazaVespucio</v>
      </c>
      <c r="M22" t="str">
        <f t="shared" si="2"/>
        <v>MasterCard</v>
      </c>
      <c r="P22" s="2" t="s">
        <v>506</v>
      </c>
      <c r="Q22" s="3">
        <v>300</v>
      </c>
    </row>
    <row r="23" spans="1:23" x14ac:dyDescent="0.2">
      <c r="A23" t="s">
        <v>98</v>
      </c>
      <c r="B23" t="str" cm="1">
        <f t="array" ref="B23:C23">_xlfn.TEXTSPLIT(A23,"_")</f>
        <v>Sienna</v>
      </c>
      <c r="C23" t="str">
        <v>Frost</v>
      </c>
      <c r="D23" t="s">
        <v>71</v>
      </c>
      <c r="E23" t="s">
        <v>31</v>
      </c>
      <c r="F23" t="s">
        <v>36</v>
      </c>
      <c r="G23" t="s">
        <v>72</v>
      </c>
      <c r="H23" t="s">
        <v>99</v>
      </c>
      <c r="I23" t="str">
        <f t="shared" si="1"/>
        <v>Jumbo</v>
      </c>
      <c r="J23" t="str">
        <f t="shared" si="4"/>
        <v>ParqueArauco</v>
      </c>
      <c r="K23" t="str">
        <f t="shared" si="5"/>
        <v>MasterCard</v>
      </c>
      <c r="L23" t="str" cm="1">
        <f t="array" ref="L23">_xlfn.IFS(J23="AltoLasCondes","MallAltoLasCondes",J23="MallPlazaEgaña","MallPlazaEgana",J23="CencoMallCostanera","CostaneraCenter", TRUE,J23)</f>
        <v>ParqueArauco</v>
      </c>
      <c r="M23" t="str">
        <f t="shared" si="2"/>
        <v>MasterCard</v>
      </c>
    </row>
    <row r="24" spans="1:23" x14ac:dyDescent="0.2">
      <c r="A24" t="s">
        <v>100</v>
      </c>
      <c r="B24" t="str" cm="1">
        <f t="array" ref="B24:C24">_xlfn.TEXTSPLIT(A24,"_")</f>
        <v>Beckett</v>
      </c>
      <c r="C24" t="str">
        <v>Chase</v>
      </c>
      <c r="D24" t="s">
        <v>30</v>
      </c>
      <c r="E24" t="s">
        <v>67</v>
      </c>
      <c r="F24" t="s">
        <v>43</v>
      </c>
      <c r="G24" t="s">
        <v>64</v>
      </c>
      <c r="H24" t="s">
        <v>101</v>
      </c>
      <c r="I24" t="str">
        <f t="shared" si="1"/>
        <v>Jumbo</v>
      </c>
      <c r="J24" t="str">
        <f t="shared" si="4"/>
        <v>CencoMallCostanera</v>
      </c>
      <c r="K24" t="str">
        <f t="shared" si="5"/>
        <v>Mastercard</v>
      </c>
      <c r="L24" t="str" cm="1">
        <f t="array" ref="L24">_xlfn.IFS(J24="AltoLasCondes","MallAltoLasCondes",J24="MallPlazaEgaña","MallPlazaEgana",J24="CencoMallCostanera","CostaneraCenter", TRUE,J24)</f>
        <v>CostaneraCenter</v>
      </c>
      <c r="M24" t="str">
        <f t="shared" si="2"/>
        <v>Mastercard</v>
      </c>
    </row>
    <row r="25" spans="1:23" x14ac:dyDescent="0.2">
      <c r="A25" t="s">
        <v>34</v>
      </c>
      <c r="B25" t="str" cm="1">
        <f t="array" ref="B25:C25">_xlfn.TEXTSPLIT(A25,"_")</f>
        <v>Thaddeus</v>
      </c>
      <c r="C25" t="str">
        <v>Vance</v>
      </c>
      <c r="D25" t="s">
        <v>102</v>
      </c>
      <c r="E25" t="s">
        <v>14</v>
      </c>
      <c r="F25" t="s">
        <v>15</v>
      </c>
      <c r="G25" t="s">
        <v>103</v>
      </c>
      <c r="H25" t="s">
        <v>104</v>
      </c>
      <c r="I25" t="str">
        <f t="shared" si="1"/>
        <v>Paris</v>
      </c>
      <c r="J25" t="str">
        <f t="shared" si="4"/>
        <v>MallPlazaEgaña</v>
      </c>
      <c r="K25" t="str">
        <f t="shared" si="5"/>
        <v>MasterCard</v>
      </c>
      <c r="L25" t="str" cm="1">
        <f t="array" ref="L25">_xlfn.IFS(J25="AltoLasCondes","MallAltoLasCondes",J25="MallPlazaEgaña","MallPlazaEgana",J25="CencoMallCostanera","CostaneraCenter", TRUE,J25)</f>
        <v>MallPlazaEgana</v>
      </c>
      <c r="M25" t="str">
        <f t="shared" si="2"/>
        <v>MasterCard</v>
      </c>
    </row>
    <row r="26" spans="1:23" x14ac:dyDescent="0.2">
      <c r="A26" t="s">
        <v>105</v>
      </c>
      <c r="B26" t="str" cm="1">
        <f t="array" ref="B26:C26">_xlfn.TEXTSPLIT(A26,"_")</f>
        <v>Camila</v>
      </c>
      <c r="C26" t="str">
        <v>Errázuriz</v>
      </c>
      <c r="D26" t="s">
        <v>96</v>
      </c>
      <c r="E26" t="s">
        <v>86</v>
      </c>
      <c r="F26" t="s">
        <v>26</v>
      </c>
      <c r="G26" t="s">
        <v>106</v>
      </c>
      <c r="H26" t="s">
        <v>107</v>
      </c>
      <c r="I26" t="str">
        <f t="shared" si="1"/>
        <v>SodimacHomecenter</v>
      </c>
      <c r="J26" t="str">
        <f t="shared" si="4"/>
        <v>CencoMallCostanera</v>
      </c>
      <c r="K26" t="str">
        <f t="shared" si="5"/>
        <v>AmericanExpress</v>
      </c>
      <c r="L26" t="str" cm="1">
        <f t="array" ref="L26">_xlfn.IFS(J26="AltoLasCondes","MallAltoLasCondes",J26="MallPlazaEgaña","MallPlazaEgana",J26="CencoMallCostanera","CostaneraCenter", TRUE,J26)</f>
        <v>CostaneraCenter</v>
      </c>
      <c r="M26" t="str">
        <f t="shared" si="2"/>
        <v>AmericanExpress</v>
      </c>
      <c r="P26" s="1" t="s">
        <v>525</v>
      </c>
      <c r="Q26" s="1" t="s">
        <v>524</v>
      </c>
    </row>
    <row r="27" spans="1:23" x14ac:dyDescent="0.2">
      <c r="A27" t="s">
        <v>108</v>
      </c>
      <c r="B27" t="str" cm="1">
        <f t="array" ref="B27:C27">_xlfn.TEXTSPLIT(A27,"_")</f>
        <v>Martina</v>
      </c>
      <c r="C27" t="str">
        <v>Salinas</v>
      </c>
      <c r="D27" t="s">
        <v>35</v>
      </c>
      <c r="E27" t="s">
        <v>86</v>
      </c>
      <c r="F27" t="s">
        <v>9</v>
      </c>
      <c r="G27" t="s">
        <v>109</v>
      </c>
      <c r="H27" t="s">
        <v>110</v>
      </c>
      <c r="I27" t="str">
        <f t="shared" si="1"/>
        <v>Easy</v>
      </c>
      <c r="J27" t="str">
        <f t="shared" si="4"/>
        <v>CencoMallCostanera</v>
      </c>
      <c r="K27" t="str">
        <f t="shared" si="5"/>
        <v>Efectivo</v>
      </c>
      <c r="L27" t="str" cm="1">
        <f t="array" ref="L27">_xlfn.IFS(J27="AltoLasCondes","MallAltoLasCondes",J27="MallPlazaEgaña","MallPlazaEgana",J27="CencoMallCostanera","CostaneraCenter", TRUE,J27)</f>
        <v>CostaneraCenter</v>
      </c>
      <c r="M27" t="str">
        <f t="shared" si="2"/>
        <v>Efectivo</v>
      </c>
      <c r="P27" s="1" t="s">
        <v>504</v>
      </c>
      <c r="Q27" t="s">
        <v>147</v>
      </c>
      <c r="R27" t="s">
        <v>60</v>
      </c>
      <c r="S27" t="s">
        <v>57</v>
      </c>
      <c r="T27" t="s">
        <v>522</v>
      </c>
      <c r="U27" t="s">
        <v>115</v>
      </c>
      <c r="V27" t="s">
        <v>505</v>
      </c>
      <c r="W27" t="s">
        <v>506</v>
      </c>
    </row>
    <row r="28" spans="1:23" x14ac:dyDescent="0.2">
      <c r="A28" t="s">
        <v>49</v>
      </c>
      <c r="B28" t="str" cm="1">
        <f t="array" ref="B28:C28">_xlfn.TEXTSPLIT(A28,"_")</f>
        <v>Talia</v>
      </c>
      <c r="C28" t="str">
        <v>Cuevas</v>
      </c>
      <c r="D28" t="s">
        <v>63</v>
      </c>
      <c r="E28" t="s">
        <v>25</v>
      </c>
      <c r="F28" t="s">
        <v>43</v>
      </c>
      <c r="G28" t="s">
        <v>93</v>
      </c>
      <c r="H28" t="s">
        <v>111</v>
      </c>
      <c r="I28" t="str">
        <f t="shared" si="1"/>
        <v>H&amp;M</v>
      </c>
      <c r="J28" t="str">
        <f t="shared" si="4"/>
        <v>MallParqueArauco</v>
      </c>
      <c r="K28" t="str">
        <f t="shared" si="5"/>
        <v>Mastercard</v>
      </c>
      <c r="L28" t="str" cm="1">
        <f t="array" ref="L28">_xlfn.IFS(J28="AltoLasCondes","MallAltoLasCondes",J28="MallPlazaEgaña","MallPlazaEgana",J28="CencoMallCostanera","CostaneraCenter", TRUE,J28)</f>
        <v>MallParqueArauco</v>
      </c>
      <c r="M28" t="str">
        <f t="shared" si="2"/>
        <v>Mastercard</v>
      </c>
      <c r="P28" s="2" t="s">
        <v>515</v>
      </c>
      <c r="Q28" s="3">
        <v>13</v>
      </c>
      <c r="R28" s="3">
        <v>13</v>
      </c>
      <c r="S28" s="3">
        <v>16</v>
      </c>
      <c r="T28" s="3">
        <v>15</v>
      </c>
      <c r="U28" s="3">
        <v>16</v>
      </c>
      <c r="V28" s="3"/>
      <c r="W28" s="3">
        <v>73</v>
      </c>
    </row>
    <row r="29" spans="1:23" x14ac:dyDescent="0.2">
      <c r="A29" t="s">
        <v>98</v>
      </c>
      <c r="B29" t="str" cm="1">
        <f t="array" ref="B29:C29">_xlfn.TEXTSPLIT(A29,"_")</f>
        <v>Sienna</v>
      </c>
      <c r="C29" t="str">
        <v>Frost</v>
      </c>
      <c r="D29" t="s">
        <v>71</v>
      </c>
      <c r="E29" t="s">
        <v>14</v>
      </c>
      <c r="F29" t="s">
        <v>9</v>
      </c>
      <c r="G29" t="s">
        <v>112</v>
      </c>
      <c r="H29" t="s">
        <v>113</v>
      </c>
      <c r="I29" t="str">
        <f t="shared" si="1"/>
        <v>Jumbo</v>
      </c>
      <c r="J29" t="str">
        <f t="shared" si="4"/>
        <v>MallPlazaEgaña</v>
      </c>
      <c r="K29" t="str">
        <f t="shared" si="5"/>
        <v>Efectivo</v>
      </c>
      <c r="L29" t="str" cm="1">
        <f t="array" ref="L29">_xlfn.IFS(J29="AltoLasCondes","MallAltoLasCondes",J29="MallPlazaEgaña","MallPlazaEgana",J29="CencoMallCostanera","CostaneraCenter", TRUE,J29)</f>
        <v>MallPlazaEgana</v>
      </c>
      <c r="M29" t="str">
        <f t="shared" si="2"/>
        <v>Efectivo</v>
      </c>
      <c r="P29" s="2" t="s">
        <v>516</v>
      </c>
      <c r="Q29" s="3">
        <v>12</v>
      </c>
      <c r="R29" s="3">
        <v>13</v>
      </c>
      <c r="S29" s="3">
        <v>9</v>
      </c>
      <c r="T29" s="3">
        <v>16</v>
      </c>
      <c r="U29" s="3">
        <v>13</v>
      </c>
      <c r="V29" s="3"/>
      <c r="W29" s="3">
        <v>63</v>
      </c>
    </row>
    <row r="30" spans="1:23" x14ac:dyDescent="0.2">
      <c r="A30" t="s">
        <v>114</v>
      </c>
      <c r="B30" t="str" cm="1">
        <f t="array" ref="B30:C30">_xlfn.TEXTSPLIT(A30,"_")</f>
        <v>Joaquín</v>
      </c>
      <c r="C30" t="str">
        <v>Zañartu</v>
      </c>
      <c r="D30" t="s">
        <v>7</v>
      </c>
      <c r="E30" t="s">
        <v>59</v>
      </c>
      <c r="F30" t="s">
        <v>115</v>
      </c>
      <c r="G30" t="s">
        <v>116</v>
      </c>
      <c r="H30" t="s">
        <v>117</v>
      </c>
      <c r="I30" t="str">
        <f t="shared" si="1"/>
        <v>Zara</v>
      </c>
      <c r="J30" t="str">
        <f t="shared" si="4"/>
        <v>AltoLasCondes</v>
      </c>
      <c r="K30" t="str">
        <f t="shared" si="5"/>
        <v>Visa</v>
      </c>
      <c r="L30" t="str" cm="1">
        <f t="array" ref="L30">_xlfn.IFS(J30="AltoLasCondes","MallAltoLasCondes",J30="MallPlazaEgaña","MallPlazaEgana",J30="CencoMallCostanera","CostaneraCenter", TRUE,J30)</f>
        <v>MallAltoLasCondes</v>
      </c>
      <c r="M30" t="str">
        <f t="shared" si="2"/>
        <v>Visa</v>
      </c>
      <c r="N30" t="str">
        <f t="shared" ref="N30:N31" si="6">LEFT(H30,3)</f>
        <v>RET</v>
      </c>
      <c r="P30" s="2" t="s">
        <v>517</v>
      </c>
      <c r="Q30" s="3">
        <v>3</v>
      </c>
      <c r="R30" s="3">
        <v>5</v>
      </c>
      <c r="S30" s="3">
        <v>3</v>
      </c>
      <c r="T30" s="3">
        <v>4</v>
      </c>
      <c r="U30" s="3">
        <v>2</v>
      </c>
      <c r="V30" s="3"/>
      <c r="W30" s="3">
        <v>17</v>
      </c>
    </row>
    <row r="31" spans="1:23" x14ac:dyDescent="0.2">
      <c r="A31" t="s">
        <v>24</v>
      </c>
      <c r="B31" t="str" cm="1">
        <f t="array" ref="B31:C31">_xlfn.TEXTSPLIT(A31,"_")</f>
        <v>Dante</v>
      </c>
      <c r="C31" t="str">
        <v>Morrow</v>
      </c>
      <c r="D31" t="s">
        <v>74</v>
      </c>
      <c r="E31" t="s">
        <v>59</v>
      </c>
      <c r="F31" t="s">
        <v>43</v>
      </c>
      <c r="G31" t="s">
        <v>118</v>
      </c>
      <c r="H31" t="s">
        <v>119</v>
      </c>
      <c r="I31" t="str">
        <f t="shared" si="1"/>
        <v>Jumbo</v>
      </c>
      <c r="J31" t="str">
        <f t="shared" si="4"/>
        <v>AltoLasCondes</v>
      </c>
      <c r="K31" t="str">
        <f t="shared" si="5"/>
        <v>Mastercard</v>
      </c>
      <c r="L31" t="str" cm="1">
        <f t="array" ref="L31">_xlfn.IFS(J31="AltoLasCondes","MallAltoLasCondes",J31="MallPlazaEgaña","MallPlazaEgana",J31="CencoMallCostanera","CostaneraCenter", TRUE,J31)</f>
        <v>MallAltoLasCondes</v>
      </c>
      <c r="M31" t="str">
        <f t="shared" si="2"/>
        <v>Mastercard</v>
      </c>
      <c r="N31" t="str">
        <f t="shared" si="6"/>
        <v>RET</v>
      </c>
      <c r="P31" s="2" t="s">
        <v>518</v>
      </c>
      <c r="Q31" s="3">
        <v>13</v>
      </c>
      <c r="R31" s="3">
        <v>11</v>
      </c>
      <c r="S31" s="3">
        <v>9</v>
      </c>
      <c r="T31" s="3">
        <v>11</v>
      </c>
      <c r="U31" s="3">
        <v>11</v>
      </c>
      <c r="V31" s="3"/>
      <c r="W31" s="3">
        <v>55</v>
      </c>
    </row>
    <row r="32" spans="1:23" x14ac:dyDescent="0.2">
      <c r="A32" t="s">
        <v>12</v>
      </c>
      <c r="B32" t="str" cm="1">
        <f t="array" ref="B32:C32">_xlfn.TEXTSPLIT(A32,"_")</f>
        <v>Antonia</v>
      </c>
      <c r="C32" t="str">
        <v>Prieto</v>
      </c>
      <c r="D32" t="s">
        <v>120</v>
      </c>
      <c r="E32" t="s">
        <v>121</v>
      </c>
      <c r="F32" t="s">
        <v>75</v>
      </c>
      <c r="G32" t="s">
        <v>122</v>
      </c>
      <c r="H32" t="s">
        <v>123</v>
      </c>
      <c r="I32" t="str">
        <f t="shared" si="1"/>
        <v>Paris</v>
      </c>
      <c r="J32" t="str">
        <f t="shared" si="4"/>
        <v>CostaneraCenter</v>
      </c>
      <c r="K32" t="str">
        <f t="shared" si="5"/>
        <v>Debito</v>
      </c>
      <c r="L32" t="str" cm="1">
        <f t="array" ref="L32">_xlfn.IFS(J32="AltoLasCondes","MallAltoLasCondes",J32="MallPlazaEgaña","MallPlazaEgana",J32="CencoMallCostanera","CostaneraCenter", TRUE,J32)</f>
        <v>CostaneraCenter</v>
      </c>
      <c r="M32" t="str">
        <f t="shared" si="2"/>
        <v>Debito</v>
      </c>
      <c r="P32" s="2" t="s">
        <v>519</v>
      </c>
      <c r="Q32" s="3">
        <v>15</v>
      </c>
      <c r="R32" s="3">
        <v>6</v>
      </c>
      <c r="S32" s="3">
        <v>7</v>
      </c>
      <c r="T32" s="3">
        <v>14</v>
      </c>
      <c r="U32" s="3">
        <v>15</v>
      </c>
      <c r="V32" s="3"/>
      <c r="W32" s="3">
        <v>57</v>
      </c>
    </row>
    <row r="33" spans="1:23" x14ac:dyDescent="0.2">
      <c r="A33" t="s">
        <v>124</v>
      </c>
      <c r="B33" t="str" cm="1">
        <f t="array" ref="B33:C33">_xlfn.TEXTSPLIT(A33,"_")</f>
        <v>Ignacio</v>
      </c>
      <c r="C33" t="str">
        <v>Reyes</v>
      </c>
      <c r="D33" t="s">
        <v>125</v>
      </c>
      <c r="E33" t="s">
        <v>126</v>
      </c>
      <c r="F33" t="s">
        <v>15</v>
      </c>
      <c r="G33" t="s">
        <v>127</v>
      </c>
      <c r="H33" t="s">
        <v>128</v>
      </c>
      <c r="I33" t="str">
        <f t="shared" si="1"/>
        <v>Ripley</v>
      </c>
      <c r="J33" t="str">
        <f t="shared" si="4"/>
        <v>MallAltoLasCondes</v>
      </c>
      <c r="K33" t="str">
        <f t="shared" si="5"/>
        <v>MasterCard</v>
      </c>
      <c r="L33" t="str" cm="1">
        <f t="array" ref="L33">_xlfn.IFS(J33="AltoLasCondes","MallAltoLasCondes",J33="MallPlazaEgaña","MallPlazaEgana",J33="CencoMallCostanera","CostaneraCenter", TRUE,J33)</f>
        <v>MallAltoLasCondes</v>
      </c>
      <c r="M33" t="str">
        <f t="shared" si="2"/>
        <v>MasterCard</v>
      </c>
      <c r="P33" s="2" t="s">
        <v>520</v>
      </c>
      <c r="Q33" s="3">
        <v>12</v>
      </c>
      <c r="R33" s="3">
        <v>7</v>
      </c>
      <c r="S33" s="3">
        <v>4</v>
      </c>
      <c r="T33" s="3">
        <v>8</v>
      </c>
      <c r="U33" s="3">
        <v>4</v>
      </c>
      <c r="V33" s="3"/>
      <c r="W33" s="3">
        <v>35</v>
      </c>
    </row>
    <row r="34" spans="1:23" x14ac:dyDescent="0.2">
      <c r="A34" t="s">
        <v>89</v>
      </c>
      <c r="B34" t="str" cm="1">
        <f t="array" ref="B34:C34">_xlfn.TEXTSPLIT(A34,"_")</f>
        <v>Seraphina</v>
      </c>
      <c r="C34" t="str">
        <v>Moon</v>
      </c>
      <c r="D34" t="s">
        <v>129</v>
      </c>
      <c r="E34" t="s">
        <v>121</v>
      </c>
      <c r="F34" t="s">
        <v>130</v>
      </c>
      <c r="G34" t="s">
        <v>112</v>
      </c>
      <c r="H34" t="s">
        <v>131</v>
      </c>
      <c r="I34" t="str">
        <f t="shared" si="1"/>
        <v>SantaIsabel</v>
      </c>
      <c r="J34" t="str">
        <f t="shared" si="4"/>
        <v>CostaneraCenter</v>
      </c>
      <c r="K34" t="str">
        <f t="shared" si="5"/>
        <v>MasterCard</v>
      </c>
      <c r="L34" t="str" cm="1">
        <f t="array" ref="L34">_xlfn.IFS(J34="AltoLasCondes","MallAltoLasCondes",J34="MallPlazaEgaña","MallPlazaEgana",J34="CencoMallCostanera","CostaneraCenter", TRUE,J34)</f>
        <v>CostaneraCenter</v>
      </c>
      <c r="M34" t="str">
        <f t="shared" si="2"/>
        <v>MasterCard</v>
      </c>
      <c r="P34" s="2" t="s">
        <v>505</v>
      </c>
      <c r="Q34" s="3"/>
      <c r="R34" s="3"/>
      <c r="S34" s="3"/>
      <c r="T34" s="3"/>
      <c r="U34" s="3"/>
      <c r="V34" s="3"/>
      <c r="W34" s="3"/>
    </row>
    <row r="35" spans="1:23" x14ac:dyDescent="0.2">
      <c r="A35" t="s">
        <v>95</v>
      </c>
      <c r="B35" t="str" cm="1">
        <f t="array" ref="B35:C35">_xlfn.TEXTSPLIT(A35,"_")</f>
        <v>Javiera</v>
      </c>
      <c r="C35" t="str">
        <v>Lorca</v>
      </c>
      <c r="D35" t="s">
        <v>129</v>
      </c>
      <c r="E35" t="s">
        <v>51</v>
      </c>
      <c r="F35" t="s">
        <v>115</v>
      </c>
      <c r="G35" t="s">
        <v>132</v>
      </c>
      <c r="H35" t="s">
        <v>133</v>
      </c>
      <c r="I35" t="str">
        <f t="shared" si="1"/>
        <v>SantaIsabel</v>
      </c>
      <c r="J35" t="str">
        <f t="shared" si="4"/>
        <v>MallplazaVespucio</v>
      </c>
      <c r="K35" t="str">
        <f t="shared" si="5"/>
        <v>Visa</v>
      </c>
      <c r="L35" t="str" cm="1">
        <f t="array" ref="L35">_xlfn.IFS(J35="AltoLasCondes","MallAltoLasCondes",J35="MallPlazaEgaña","MallPlazaEgana",J35="CencoMallCostanera","CostaneraCenter", TRUE,J35)</f>
        <v>MallplazaVespucio</v>
      </c>
      <c r="M35" t="str">
        <f t="shared" si="2"/>
        <v>Visa</v>
      </c>
      <c r="P35" s="2" t="s">
        <v>506</v>
      </c>
      <c r="Q35" s="3">
        <v>68</v>
      </c>
      <c r="R35" s="3">
        <v>55</v>
      </c>
      <c r="S35" s="3">
        <v>48</v>
      </c>
      <c r="T35" s="3">
        <v>68</v>
      </c>
      <c r="U35" s="3">
        <v>61</v>
      </c>
      <c r="V35" s="3"/>
      <c r="W35" s="3">
        <v>300</v>
      </c>
    </row>
    <row r="36" spans="1:23" x14ac:dyDescent="0.2">
      <c r="A36" t="s">
        <v>49</v>
      </c>
      <c r="B36" t="str" cm="1">
        <f t="array" ref="B36:C36">_xlfn.TEXTSPLIT(A36,"_")</f>
        <v>Talia</v>
      </c>
      <c r="C36" t="str">
        <v>Cuevas</v>
      </c>
      <c r="D36" t="s">
        <v>7</v>
      </c>
      <c r="E36" t="s">
        <v>14</v>
      </c>
      <c r="F36" t="s">
        <v>134</v>
      </c>
      <c r="G36" t="s">
        <v>135</v>
      </c>
      <c r="H36" t="s">
        <v>136</v>
      </c>
      <c r="I36" t="str">
        <f t="shared" si="1"/>
        <v>Zara</v>
      </c>
      <c r="J36" t="str">
        <f t="shared" si="4"/>
        <v>MallPlazaEgaña</v>
      </c>
      <c r="K36" t="str">
        <f t="shared" si="5"/>
        <v>AmericanExpress</v>
      </c>
      <c r="L36" t="str" cm="1">
        <f t="array" ref="L36">_xlfn.IFS(J36="AltoLasCondes","MallAltoLasCondes",J36="MallPlazaEgaña","MallPlazaEgana",J36="CencoMallCostanera","CostaneraCenter", TRUE,J36)</f>
        <v>MallPlazaEgana</v>
      </c>
      <c r="M36" t="str">
        <f t="shared" si="2"/>
        <v>AmericanExpress</v>
      </c>
    </row>
    <row r="37" spans="1:23" x14ac:dyDescent="0.2">
      <c r="A37" t="s">
        <v>95</v>
      </c>
      <c r="B37" t="str" cm="1">
        <f t="array" ref="B37:C37">_xlfn.TEXTSPLIT(A37,"_")</f>
        <v>Javiera</v>
      </c>
      <c r="C37" t="str">
        <v>Lorca</v>
      </c>
      <c r="D37" t="s">
        <v>125</v>
      </c>
      <c r="E37" t="s">
        <v>31</v>
      </c>
      <c r="F37" t="s">
        <v>15</v>
      </c>
      <c r="G37" t="s">
        <v>122</v>
      </c>
      <c r="H37" t="s">
        <v>137</v>
      </c>
      <c r="I37" t="str">
        <f t="shared" si="1"/>
        <v>Ripley</v>
      </c>
      <c r="J37" t="str">
        <f t="shared" si="4"/>
        <v>ParqueArauco</v>
      </c>
      <c r="K37" t="str">
        <f t="shared" si="5"/>
        <v>MasterCard</v>
      </c>
      <c r="L37" t="str" cm="1">
        <f t="array" ref="L37">_xlfn.IFS(J37="AltoLasCondes","MallAltoLasCondes",J37="MallPlazaEgaña","MallPlazaEgana",J37="CencoMallCostanera","CostaneraCenter", TRUE,J37)</f>
        <v>ParqueArauco</v>
      </c>
      <c r="M37" t="str">
        <f t="shared" si="2"/>
        <v>MasterCard</v>
      </c>
    </row>
    <row r="38" spans="1:23" x14ac:dyDescent="0.2">
      <c r="A38" t="s">
        <v>100</v>
      </c>
      <c r="B38" t="str" cm="1">
        <f t="array" ref="B38:C38">_xlfn.TEXTSPLIT(A38,"_")</f>
        <v>Beckett</v>
      </c>
      <c r="C38" t="str">
        <v>Chase</v>
      </c>
      <c r="D38" t="s">
        <v>82</v>
      </c>
      <c r="E38" t="s">
        <v>67</v>
      </c>
      <c r="F38" t="s">
        <v>26</v>
      </c>
      <c r="G38" t="s">
        <v>138</v>
      </c>
      <c r="H38" t="s">
        <v>139</v>
      </c>
      <c r="I38" t="str">
        <f t="shared" si="1"/>
        <v>Ripley</v>
      </c>
      <c r="J38" t="str">
        <f t="shared" si="4"/>
        <v>CencoMallCostanera</v>
      </c>
      <c r="K38" t="str">
        <f t="shared" si="5"/>
        <v>AmericanExpress</v>
      </c>
      <c r="L38" t="str" cm="1">
        <f t="array" ref="L38">_xlfn.IFS(J38="AltoLasCondes","MallAltoLasCondes",J38="MallPlazaEgaña","MallPlazaEgana",J38="CencoMallCostanera","CostaneraCenter", TRUE,J38)</f>
        <v>CostaneraCenter</v>
      </c>
      <c r="M38" t="str">
        <f t="shared" si="2"/>
        <v>AmericanExpress</v>
      </c>
    </row>
    <row r="39" spans="1:23" x14ac:dyDescent="0.2">
      <c r="A39" t="s">
        <v>140</v>
      </c>
      <c r="B39" t="str" cm="1">
        <f t="array" ref="B39:C39">_xlfn.TEXTSPLIT(A39,"_")</f>
        <v>Benjamín</v>
      </c>
      <c r="C39" t="str">
        <v>Vargas</v>
      </c>
      <c r="D39" t="s">
        <v>141</v>
      </c>
      <c r="E39" t="s">
        <v>42</v>
      </c>
      <c r="F39" t="s">
        <v>60</v>
      </c>
      <c r="G39" t="s">
        <v>142</v>
      </c>
      <c r="H39" t="s">
        <v>143</v>
      </c>
      <c r="I39" t="str">
        <f t="shared" si="1"/>
        <v>Easy</v>
      </c>
      <c r="J39" t="str">
        <f t="shared" si="4"/>
        <v>AltoLasCondes</v>
      </c>
      <c r="K39" t="str">
        <f t="shared" si="5"/>
        <v>Debito</v>
      </c>
      <c r="L39" t="str" cm="1">
        <f t="array" ref="L39">_xlfn.IFS(J39="AltoLasCondes","MallAltoLasCondes",J39="MallPlazaEgaña","MallPlazaEgana",J39="CencoMallCostanera","CostaneraCenter", TRUE,J39)</f>
        <v>MallAltoLasCondes</v>
      </c>
      <c r="M39" t="str">
        <f t="shared" si="2"/>
        <v>Debito</v>
      </c>
    </row>
    <row r="40" spans="1:23" x14ac:dyDescent="0.2">
      <c r="A40" t="s">
        <v>49</v>
      </c>
      <c r="B40" t="str" cm="1">
        <f t="array" ref="B40:C40">_xlfn.TEXTSPLIT(A40,"_")</f>
        <v>Talia</v>
      </c>
      <c r="C40" t="str">
        <v>Cuevas</v>
      </c>
      <c r="D40" t="s">
        <v>35</v>
      </c>
      <c r="E40" t="s">
        <v>20</v>
      </c>
      <c r="F40" t="s">
        <v>60</v>
      </c>
      <c r="G40" t="s">
        <v>144</v>
      </c>
      <c r="H40" t="s">
        <v>145</v>
      </c>
      <c r="I40" t="str">
        <f t="shared" si="1"/>
        <v>Easy</v>
      </c>
      <c r="J40" t="str">
        <f t="shared" si="4"/>
        <v>MallPlazaVespucio</v>
      </c>
      <c r="K40" t="str">
        <f t="shared" si="5"/>
        <v>Debito</v>
      </c>
      <c r="L40" t="str" cm="1">
        <f t="array" ref="L40">_xlfn.IFS(J40="AltoLasCondes","MallAltoLasCondes",J40="MallPlazaEgaña","MallPlazaEgana",J40="CencoMallCostanera","CostaneraCenter", TRUE,J40)</f>
        <v>MallPlazaVespucio</v>
      </c>
      <c r="M40" t="str">
        <f t="shared" si="2"/>
        <v>Debito</v>
      </c>
    </row>
    <row r="41" spans="1:23" x14ac:dyDescent="0.2">
      <c r="A41" t="s">
        <v>108</v>
      </c>
      <c r="B41" t="str" cm="1">
        <f t="array" ref="B41:C41">_xlfn.TEXTSPLIT(A41,"_")</f>
        <v>Martina</v>
      </c>
      <c r="C41" t="str">
        <v>Salinas</v>
      </c>
      <c r="D41" t="s">
        <v>146</v>
      </c>
      <c r="E41" t="s">
        <v>86</v>
      </c>
      <c r="F41" t="s">
        <v>147</v>
      </c>
      <c r="G41" t="s">
        <v>148</v>
      </c>
      <c r="H41" t="s">
        <v>149</v>
      </c>
      <c r="I41" t="str">
        <f t="shared" si="1"/>
        <v>H&amp;M</v>
      </c>
      <c r="J41" t="str">
        <f t="shared" si="4"/>
        <v>CencoMallCostanera</v>
      </c>
      <c r="K41" t="str">
        <f t="shared" si="5"/>
        <v>Americanexpress</v>
      </c>
      <c r="L41" t="str" cm="1">
        <f t="array" ref="L41">_xlfn.IFS(J41="AltoLasCondes","MallAltoLasCondes",J41="MallPlazaEgaña","MallPlazaEgana",J41="CencoMallCostanera","CostaneraCenter", TRUE,J41)</f>
        <v>CostaneraCenter</v>
      </c>
      <c r="M41" t="str">
        <f t="shared" si="2"/>
        <v>Americanexpress</v>
      </c>
    </row>
    <row r="42" spans="1:23" x14ac:dyDescent="0.2">
      <c r="A42" t="s">
        <v>95</v>
      </c>
      <c r="B42" t="str" cm="1">
        <f t="array" ref="B42:C42">_xlfn.TEXTSPLIT(A42,"_")</f>
        <v>Javiera</v>
      </c>
      <c r="C42" t="str">
        <v>Lorca</v>
      </c>
      <c r="D42" t="s">
        <v>30</v>
      </c>
      <c r="E42" t="s">
        <v>59</v>
      </c>
      <c r="F42" t="s">
        <v>130</v>
      </c>
      <c r="G42" t="s">
        <v>150</v>
      </c>
      <c r="H42" t="s">
        <v>151</v>
      </c>
      <c r="I42" t="str">
        <f t="shared" si="1"/>
        <v>Jumbo</v>
      </c>
      <c r="J42" t="str">
        <f t="shared" si="4"/>
        <v>AltoLasCondes</v>
      </c>
      <c r="K42" t="str">
        <f t="shared" si="5"/>
        <v>MasterCard</v>
      </c>
      <c r="L42" t="str" cm="1">
        <f t="array" ref="L42">_xlfn.IFS(J42="AltoLasCondes","MallAltoLasCondes",J42="MallPlazaEgaña","MallPlazaEgana",J42="CencoMallCostanera","CostaneraCenter", TRUE,J42)</f>
        <v>MallAltoLasCondes</v>
      </c>
      <c r="M42" t="str">
        <f t="shared" si="2"/>
        <v>MasterCard</v>
      </c>
    </row>
    <row r="43" spans="1:23" x14ac:dyDescent="0.2">
      <c r="A43" t="s">
        <v>12</v>
      </c>
      <c r="B43" t="str" cm="1">
        <f t="array" ref="B43:C43">_xlfn.TEXTSPLIT(A43,"_")</f>
        <v>Antonia</v>
      </c>
      <c r="C43" t="str">
        <v>Prieto</v>
      </c>
      <c r="D43" t="s">
        <v>141</v>
      </c>
      <c r="E43" t="s">
        <v>25</v>
      </c>
      <c r="F43" t="s">
        <v>26</v>
      </c>
      <c r="G43" t="s">
        <v>152</v>
      </c>
      <c r="H43" t="s">
        <v>153</v>
      </c>
      <c r="I43" t="str">
        <f t="shared" si="1"/>
        <v>Easy</v>
      </c>
      <c r="J43" t="str">
        <f t="shared" si="4"/>
        <v>MallParqueArauco</v>
      </c>
      <c r="K43" t="str">
        <f t="shared" si="5"/>
        <v>AmericanExpress</v>
      </c>
      <c r="L43" t="str" cm="1">
        <f t="array" ref="L43">_xlfn.IFS(J43="AltoLasCondes","MallAltoLasCondes",J43="MallPlazaEgaña","MallPlazaEgana",J43="CencoMallCostanera","CostaneraCenter", TRUE,J43)</f>
        <v>MallParqueArauco</v>
      </c>
      <c r="M43" t="str">
        <f t="shared" si="2"/>
        <v>AmericanExpress</v>
      </c>
    </row>
    <row r="44" spans="1:23" x14ac:dyDescent="0.2">
      <c r="A44" t="s">
        <v>41</v>
      </c>
      <c r="B44" t="str" cm="1">
        <f t="array" ref="B44:C44">_xlfn.TEXTSPLIT(A44,"_")</f>
        <v>Isidora</v>
      </c>
      <c r="C44" t="str">
        <v>Pinto</v>
      </c>
      <c r="D44" t="s">
        <v>35</v>
      </c>
      <c r="E44" t="s">
        <v>31</v>
      </c>
      <c r="F44" t="s">
        <v>21</v>
      </c>
      <c r="G44" t="s">
        <v>154</v>
      </c>
      <c r="H44" t="s">
        <v>155</v>
      </c>
      <c r="I44" t="str">
        <f t="shared" si="1"/>
        <v>Easy</v>
      </c>
      <c r="J44" t="str">
        <f t="shared" si="4"/>
        <v>ParqueArauco</v>
      </c>
      <c r="K44" t="str">
        <f t="shared" si="5"/>
        <v>Visa</v>
      </c>
      <c r="L44" t="str" cm="1">
        <f t="array" ref="L44">_xlfn.IFS(J44="AltoLasCondes","MallAltoLasCondes",J44="MallPlazaEgaña","MallPlazaEgana",J44="CencoMallCostanera","CostaneraCenter", TRUE,J44)</f>
        <v>ParqueArauco</v>
      </c>
      <c r="M44" t="str">
        <f t="shared" si="2"/>
        <v>Visa</v>
      </c>
      <c r="N44" t="str">
        <f t="shared" ref="N44:N45" si="7">LEFT(H44,3)</f>
        <v>AUX</v>
      </c>
    </row>
    <row r="45" spans="1:23" x14ac:dyDescent="0.2">
      <c r="A45" t="s">
        <v>124</v>
      </c>
      <c r="B45" t="str" cm="1">
        <f t="array" ref="B45:C45">_xlfn.TEXTSPLIT(A45,"_")</f>
        <v>Ignacio</v>
      </c>
      <c r="C45" t="str">
        <v>Reyes</v>
      </c>
      <c r="D45" t="s">
        <v>63</v>
      </c>
      <c r="E45" t="s">
        <v>79</v>
      </c>
      <c r="F45" t="s">
        <v>156</v>
      </c>
      <c r="G45" t="s">
        <v>157</v>
      </c>
      <c r="H45" t="s">
        <v>158</v>
      </c>
      <c r="I45" t="str">
        <f t="shared" si="1"/>
        <v>H&amp;M</v>
      </c>
      <c r="J45" t="str">
        <f t="shared" si="4"/>
        <v>ParqueArauco</v>
      </c>
      <c r="K45" t="str">
        <f t="shared" si="5"/>
        <v>Débito</v>
      </c>
      <c r="L45" t="str" cm="1">
        <f t="array" ref="L45">_xlfn.IFS(J45="AltoLasCondes","MallAltoLasCondes",J45="MallPlazaEgaña","MallPlazaEgana",J45="CencoMallCostanera","CostaneraCenter", TRUE,J45)</f>
        <v>ParqueArauco</v>
      </c>
      <c r="M45" t="str">
        <f t="shared" si="2"/>
        <v>Debito</v>
      </c>
      <c r="N45" t="str">
        <f t="shared" si="7"/>
        <v>AUX</v>
      </c>
    </row>
    <row r="46" spans="1:23" x14ac:dyDescent="0.2">
      <c r="A46" t="s">
        <v>159</v>
      </c>
      <c r="B46" t="str" cm="1">
        <f t="array" ref="B46:C46">_xlfn.TEXTSPLIT(A46,"_")</f>
        <v>Tomás</v>
      </c>
      <c r="C46" t="str">
        <v>Guzmán</v>
      </c>
      <c r="D46" t="s">
        <v>30</v>
      </c>
      <c r="E46" t="s">
        <v>91</v>
      </c>
      <c r="F46" t="s">
        <v>36</v>
      </c>
      <c r="G46" t="s">
        <v>160</v>
      </c>
      <c r="H46" t="s">
        <v>161</v>
      </c>
      <c r="I46" t="str">
        <f t="shared" si="1"/>
        <v>Jumbo</v>
      </c>
      <c r="J46" t="str">
        <f t="shared" si="4"/>
        <v>CostaneraCenter</v>
      </c>
      <c r="K46" t="str">
        <f t="shared" si="5"/>
        <v>MasterCard</v>
      </c>
      <c r="L46" t="str" cm="1">
        <f t="array" ref="L46">_xlfn.IFS(J46="AltoLasCondes","MallAltoLasCondes",J46="MallPlazaEgaña","MallPlazaEgana",J46="CencoMallCostanera","CostaneraCenter", TRUE,J46)</f>
        <v>CostaneraCenter</v>
      </c>
      <c r="M46" t="str">
        <f t="shared" si="2"/>
        <v>MasterCard</v>
      </c>
    </row>
    <row r="47" spans="1:23" x14ac:dyDescent="0.2">
      <c r="A47" t="s">
        <v>162</v>
      </c>
      <c r="B47" t="str" cm="1">
        <f t="array" ref="B47:C47">_xlfn.TEXTSPLIT(A47,"_")</f>
        <v>Elaina</v>
      </c>
      <c r="C47" t="str">
        <v>Giles</v>
      </c>
      <c r="D47" t="s">
        <v>63</v>
      </c>
      <c r="E47" t="s">
        <v>31</v>
      </c>
      <c r="F47" t="s">
        <v>26</v>
      </c>
      <c r="G47" t="s">
        <v>32</v>
      </c>
      <c r="H47" t="s">
        <v>163</v>
      </c>
      <c r="I47" t="str">
        <f t="shared" si="1"/>
        <v>H&amp;M</v>
      </c>
      <c r="J47" t="str">
        <f t="shared" si="4"/>
        <v>ParqueArauco</v>
      </c>
      <c r="K47" t="str">
        <f t="shared" si="5"/>
        <v>AmericanExpress</v>
      </c>
      <c r="L47" t="str" cm="1">
        <f t="array" ref="L47">_xlfn.IFS(J47="AltoLasCondes","MallAltoLasCondes",J47="MallPlazaEgaña","MallPlazaEgana",J47="CencoMallCostanera","CostaneraCenter", TRUE,J47)</f>
        <v>ParqueArauco</v>
      </c>
      <c r="M47" t="str">
        <f t="shared" si="2"/>
        <v>AmericanExpress</v>
      </c>
    </row>
    <row r="48" spans="1:23" x14ac:dyDescent="0.2">
      <c r="A48" t="s">
        <v>159</v>
      </c>
      <c r="B48" t="str" cm="1">
        <f t="array" ref="B48:C48">_xlfn.TEXTSPLIT(A48,"_")</f>
        <v>Tomás</v>
      </c>
      <c r="C48" t="str">
        <v>Guzmán</v>
      </c>
      <c r="D48" t="s">
        <v>19</v>
      </c>
      <c r="E48" t="s">
        <v>59</v>
      </c>
      <c r="F48" t="s">
        <v>134</v>
      </c>
      <c r="G48" t="s">
        <v>80</v>
      </c>
      <c r="H48" t="s">
        <v>164</v>
      </c>
      <c r="I48" t="str">
        <f t="shared" si="1"/>
        <v>Falabella</v>
      </c>
      <c r="J48" t="str">
        <f t="shared" si="4"/>
        <v>AltoLasCondes</v>
      </c>
      <c r="K48" t="str">
        <f t="shared" si="5"/>
        <v>AmericanExpress</v>
      </c>
      <c r="L48" t="str" cm="1">
        <f t="array" ref="L48">_xlfn.IFS(J48="AltoLasCondes","MallAltoLasCondes",J48="MallPlazaEgaña","MallPlazaEgana",J48="CencoMallCostanera","CostaneraCenter", TRUE,J48)</f>
        <v>MallAltoLasCondes</v>
      </c>
      <c r="M48" t="str">
        <f t="shared" si="2"/>
        <v>AmericanExpress</v>
      </c>
    </row>
    <row r="49" spans="1:14" x14ac:dyDescent="0.2">
      <c r="A49" t="s">
        <v>108</v>
      </c>
      <c r="B49" t="str" cm="1">
        <f t="array" ref="B49:C49">_xlfn.TEXTSPLIT(A49,"_")</f>
        <v>Martina</v>
      </c>
      <c r="C49" t="str">
        <v>Salinas</v>
      </c>
      <c r="D49" t="s">
        <v>165</v>
      </c>
      <c r="E49" t="s">
        <v>91</v>
      </c>
      <c r="F49" t="s">
        <v>87</v>
      </c>
      <c r="G49" t="s">
        <v>84</v>
      </c>
      <c r="H49" t="s">
        <v>166</v>
      </c>
      <c r="I49" t="str">
        <f t="shared" si="1"/>
        <v>Sta.Isabel</v>
      </c>
      <c r="J49" t="str">
        <f t="shared" si="4"/>
        <v>CostaneraCenter</v>
      </c>
      <c r="K49" t="str">
        <f t="shared" si="5"/>
        <v>Visa</v>
      </c>
      <c r="L49" t="str" cm="1">
        <f t="array" ref="L49">_xlfn.IFS(J49="AltoLasCondes","MallAltoLasCondes",J49="MallPlazaEgaña","MallPlazaEgana",J49="CencoMallCostanera","CostaneraCenter", TRUE,J49)</f>
        <v>CostaneraCenter</v>
      </c>
      <c r="M49" t="str">
        <f t="shared" si="2"/>
        <v>Visa</v>
      </c>
    </row>
    <row r="50" spans="1:14" x14ac:dyDescent="0.2">
      <c r="A50" t="s">
        <v>66</v>
      </c>
      <c r="B50" t="str" cm="1">
        <f t="array" ref="B50:C50">_xlfn.TEXTSPLIT(A50,"_")</f>
        <v>Priscilia</v>
      </c>
      <c r="C50" t="str">
        <v>Welch</v>
      </c>
      <c r="D50" t="s">
        <v>167</v>
      </c>
      <c r="E50" t="s">
        <v>31</v>
      </c>
      <c r="F50" t="s">
        <v>43</v>
      </c>
      <c r="G50" t="s">
        <v>168</v>
      </c>
      <c r="H50" t="s">
        <v>169</v>
      </c>
      <c r="I50" t="str">
        <f t="shared" si="1"/>
        <v>Jumbo</v>
      </c>
      <c r="J50" t="str">
        <f t="shared" si="4"/>
        <v>ParqueArauco</v>
      </c>
      <c r="K50" t="str">
        <f t="shared" si="5"/>
        <v>Mastercard</v>
      </c>
      <c r="L50" t="str" cm="1">
        <f t="array" ref="L50">_xlfn.IFS(J50="AltoLasCondes","MallAltoLasCondes",J50="MallPlazaEgaña","MallPlazaEgana",J50="CencoMallCostanera","CostaneraCenter", TRUE,J50)</f>
        <v>ParqueArauco</v>
      </c>
      <c r="M50" t="str">
        <f t="shared" si="2"/>
        <v>Mastercard</v>
      </c>
    </row>
    <row r="51" spans="1:14" x14ac:dyDescent="0.2">
      <c r="A51" t="s">
        <v>12</v>
      </c>
      <c r="B51" t="str" cm="1">
        <f t="array" ref="B51:C51">_xlfn.TEXTSPLIT(A51,"_")</f>
        <v>Antonia</v>
      </c>
      <c r="C51" t="str">
        <v>Prieto</v>
      </c>
      <c r="D51" t="s">
        <v>102</v>
      </c>
      <c r="E51" t="s">
        <v>14</v>
      </c>
      <c r="F51" t="s">
        <v>21</v>
      </c>
      <c r="G51" t="s">
        <v>170</v>
      </c>
      <c r="H51" t="s">
        <v>171</v>
      </c>
      <c r="I51" t="str">
        <f t="shared" si="1"/>
        <v>Paris</v>
      </c>
      <c r="J51" t="str">
        <f t="shared" si="4"/>
        <v>MallPlazaEgaña</v>
      </c>
      <c r="K51" t="str">
        <f t="shared" si="5"/>
        <v>Visa</v>
      </c>
      <c r="L51" t="str" cm="1">
        <f t="array" ref="L51">_xlfn.IFS(J51="AltoLasCondes","MallAltoLasCondes",J51="MallPlazaEgaña","MallPlazaEgana",J51="CencoMallCostanera","CostaneraCenter", TRUE,J51)</f>
        <v>MallPlazaEgana</v>
      </c>
      <c r="M51" t="str">
        <f t="shared" si="2"/>
        <v>Visa</v>
      </c>
    </row>
    <row r="52" spans="1:14" x14ac:dyDescent="0.2">
      <c r="A52" t="s">
        <v>172</v>
      </c>
      <c r="B52" t="str" cm="1">
        <f t="array" ref="B52:C52">_xlfn.TEXTSPLIT(A52,"_")</f>
        <v>Mila</v>
      </c>
      <c r="C52" t="str">
        <v>Rivers</v>
      </c>
      <c r="D52" t="s">
        <v>63</v>
      </c>
      <c r="E52" t="s">
        <v>51</v>
      </c>
      <c r="F52" t="s">
        <v>92</v>
      </c>
      <c r="G52" t="s">
        <v>173</v>
      </c>
      <c r="H52" t="s">
        <v>174</v>
      </c>
      <c r="I52" t="str">
        <f t="shared" si="1"/>
        <v>H&amp;M</v>
      </c>
      <c r="J52" t="str">
        <f t="shared" si="4"/>
        <v>MallplazaVespucio</v>
      </c>
      <c r="K52" t="str">
        <f t="shared" si="5"/>
        <v>Efectivo</v>
      </c>
      <c r="L52" t="str" cm="1">
        <f t="array" ref="L52">_xlfn.IFS(J52="AltoLasCondes","MallAltoLasCondes",J52="MallPlazaEgaña","MallPlazaEgana",J52="CencoMallCostanera","CostaneraCenter", TRUE,J52)</f>
        <v>MallplazaVespucio</v>
      </c>
      <c r="M52" t="str">
        <f t="shared" si="2"/>
        <v>Efectivo</v>
      </c>
    </row>
    <row r="53" spans="1:14" x14ac:dyDescent="0.2">
      <c r="A53" t="s">
        <v>100</v>
      </c>
      <c r="B53" t="str" cm="1">
        <f t="array" ref="B53:C53">_xlfn.TEXTSPLIT(A53,"_")</f>
        <v>Beckett</v>
      </c>
      <c r="C53" t="str">
        <v>Chase</v>
      </c>
      <c r="D53" t="s">
        <v>78</v>
      </c>
      <c r="E53" t="s">
        <v>121</v>
      </c>
      <c r="F53" t="s">
        <v>92</v>
      </c>
      <c r="G53" t="s">
        <v>175</v>
      </c>
      <c r="H53" t="s">
        <v>176</v>
      </c>
      <c r="I53" t="str">
        <f t="shared" si="1"/>
        <v>SantaIsabel</v>
      </c>
      <c r="J53" t="str">
        <f t="shared" si="4"/>
        <v>CostaneraCenter</v>
      </c>
      <c r="K53" t="str">
        <f t="shared" si="5"/>
        <v>Efectivo</v>
      </c>
      <c r="L53" t="str" cm="1">
        <f t="array" ref="L53">_xlfn.IFS(J53="AltoLasCondes","MallAltoLasCondes",J53="MallPlazaEgaña","MallPlazaEgana",J53="CencoMallCostanera","CostaneraCenter", TRUE,J53)</f>
        <v>CostaneraCenter</v>
      </c>
      <c r="M53" t="str">
        <f t="shared" si="2"/>
        <v>Efectivo</v>
      </c>
    </row>
    <row r="54" spans="1:14" x14ac:dyDescent="0.2">
      <c r="A54" t="s">
        <v>108</v>
      </c>
      <c r="B54" t="str" cm="1">
        <f t="array" ref="B54:C54">_xlfn.TEXTSPLIT(A54,"_")</f>
        <v>Martina</v>
      </c>
      <c r="C54" t="str">
        <v>Salinas</v>
      </c>
      <c r="D54" t="s">
        <v>19</v>
      </c>
      <c r="E54" t="s">
        <v>79</v>
      </c>
      <c r="F54" t="s">
        <v>43</v>
      </c>
      <c r="G54" t="s">
        <v>177</v>
      </c>
      <c r="H54" t="s">
        <v>178</v>
      </c>
      <c r="I54" t="str">
        <f t="shared" si="1"/>
        <v>Falabella</v>
      </c>
      <c r="J54" t="str">
        <f t="shared" si="4"/>
        <v>ParqueArauco</v>
      </c>
      <c r="K54" t="str">
        <f t="shared" si="5"/>
        <v>Mastercard</v>
      </c>
      <c r="L54" t="str" cm="1">
        <f t="array" ref="L54">_xlfn.IFS(J54="AltoLasCondes","MallAltoLasCondes",J54="MallPlazaEgaña","MallPlazaEgana",J54="CencoMallCostanera","CostaneraCenter", TRUE,J54)</f>
        <v>ParqueArauco</v>
      </c>
      <c r="M54" t="str">
        <f t="shared" si="2"/>
        <v>Mastercard</v>
      </c>
    </row>
    <row r="55" spans="1:14" x14ac:dyDescent="0.2">
      <c r="A55" t="s">
        <v>105</v>
      </c>
      <c r="B55" t="str" cm="1">
        <f t="array" ref="B55:C55">_xlfn.TEXTSPLIT(A55,"_")</f>
        <v>Camila</v>
      </c>
      <c r="C55" t="str">
        <v>Errázuriz</v>
      </c>
      <c r="D55" t="s">
        <v>63</v>
      </c>
      <c r="E55" t="s">
        <v>31</v>
      </c>
      <c r="F55" t="s">
        <v>75</v>
      </c>
      <c r="G55" t="s">
        <v>68</v>
      </c>
      <c r="H55" t="s">
        <v>179</v>
      </c>
      <c r="I55" t="str">
        <f t="shared" si="1"/>
        <v>H&amp;M</v>
      </c>
      <c r="J55" t="str">
        <f t="shared" si="4"/>
        <v>ParqueArauco</v>
      </c>
      <c r="K55" t="str">
        <f t="shared" si="5"/>
        <v>Debito</v>
      </c>
      <c r="L55" t="str" cm="1">
        <f t="array" ref="L55">_xlfn.IFS(J55="AltoLasCondes","MallAltoLasCondes",J55="MallPlazaEgaña","MallPlazaEgana",J55="CencoMallCostanera","CostaneraCenter", TRUE,J55)</f>
        <v>ParqueArauco</v>
      </c>
      <c r="M55" t="str">
        <f t="shared" si="2"/>
        <v>Debito</v>
      </c>
    </row>
    <row r="56" spans="1:14" x14ac:dyDescent="0.2">
      <c r="A56" t="s">
        <v>180</v>
      </c>
      <c r="B56" t="str" cm="1">
        <f t="array" ref="B56:C56">_xlfn.TEXTSPLIT(A56,"_")</f>
        <v>Florencia</v>
      </c>
      <c r="C56" t="str">
        <v>Matte</v>
      </c>
      <c r="D56" t="s">
        <v>165</v>
      </c>
      <c r="E56" t="s">
        <v>67</v>
      </c>
      <c r="F56" t="s">
        <v>21</v>
      </c>
      <c r="G56" t="s">
        <v>181</v>
      </c>
      <c r="H56" t="s">
        <v>182</v>
      </c>
      <c r="I56" t="str">
        <f t="shared" si="1"/>
        <v>Sta.Isabel</v>
      </c>
      <c r="J56" t="str">
        <f t="shared" si="4"/>
        <v>CencoMallCostanera</v>
      </c>
      <c r="K56" t="str">
        <f t="shared" si="5"/>
        <v>Visa</v>
      </c>
      <c r="L56" t="str" cm="1">
        <f t="array" ref="L56">_xlfn.IFS(J56="AltoLasCondes","MallAltoLasCondes",J56="MallPlazaEgaña","MallPlazaEgana",J56="CencoMallCostanera","CostaneraCenter", TRUE,J56)</f>
        <v>CostaneraCenter</v>
      </c>
      <c r="M56" t="str">
        <f t="shared" si="2"/>
        <v>Visa</v>
      </c>
    </row>
    <row r="57" spans="1:14" x14ac:dyDescent="0.2">
      <c r="A57" t="s">
        <v>12</v>
      </c>
      <c r="B57" t="str" cm="1">
        <f t="array" ref="B57:C57">_xlfn.TEXTSPLIT(A57,"_")</f>
        <v>Antonia</v>
      </c>
      <c r="C57" t="str">
        <v>Prieto</v>
      </c>
      <c r="D57" t="s">
        <v>63</v>
      </c>
      <c r="E57" t="s">
        <v>67</v>
      </c>
      <c r="F57" t="s">
        <v>36</v>
      </c>
      <c r="G57" t="s">
        <v>181</v>
      </c>
      <c r="H57" t="s">
        <v>183</v>
      </c>
      <c r="I57" t="str">
        <f t="shared" si="1"/>
        <v>H&amp;M</v>
      </c>
      <c r="J57" t="str">
        <f t="shared" si="4"/>
        <v>CencoMallCostanera</v>
      </c>
      <c r="K57" t="str">
        <f t="shared" si="5"/>
        <v>MasterCard</v>
      </c>
      <c r="L57" t="str" cm="1">
        <f t="array" ref="L57">_xlfn.IFS(J57="AltoLasCondes","MallAltoLasCondes",J57="MallPlazaEgaña","MallPlazaEgana",J57="CencoMallCostanera","CostaneraCenter", TRUE,J57)</f>
        <v>CostaneraCenter</v>
      </c>
      <c r="M57" t="str">
        <f t="shared" si="2"/>
        <v>MasterCard</v>
      </c>
    </row>
    <row r="58" spans="1:14" x14ac:dyDescent="0.2">
      <c r="A58" t="s">
        <v>66</v>
      </c>
      <c r="B58" t="str" cm="1">
        <f t="array" ref="B58:C58">_xlfn.TEXTSPLIT(A58,"_")</f>
        <v>Priscilia</v>
      </c>
      <c r="C58" t="str">
        <v>Welch</v>
      </c>
      <c r="D58" t="s">
        <v>82</v>
      </c>
      <c r="E58" t="s">
        <v>31</v>
      </c>
      <c r="F58" t="s">
        <v>15</v>
      </c>
      <c r="G58" t="s">
        <v>184</v>
      </c>
      <c r="H58" t="s">
        <v>185</v>
      </c>
      <c r="I58" t="str">
        <f t="shared" si="1"/>
        <v>Ripley</v>
      </c>
      <c r="J58" t="str">
        <f t="shared" si="4"/>
        <v>ParqueArauco</v>
      </c>
      <c r="K58" t="str">
        <f t="shared" si="5"/>
        <v>MasterCard</v>
      </c>
      <c r="L58" t="str" cm="1">
        <f t="array" ref="L58">_xlfn.IFS(J58="AltoLasCondes","MallAltoLasCondes",J58="MallPlazaEgaña","MallPlazaEgana",J58="CencoMallCostanera","CostaneraCenter", TRUE,J58)</f>
        <v>ParqueArauco</v>
      </c>
      <c r="M58" t="str">
        <f t="shared" si="2"/>
        <v>MasterCard</v>
      </c>
      <c r="N58" t="str">
        <f t="shared" ref="N58:N59" si="8">LEFT(H58,3)</f>
        <v>AUX</v>
      </c>
    </row>
    <row r="59" spans="1:14" x14ac:dyDescent="0.2">
      <c r="A59" t="s">
        <v>6</v>
      </c>
      <c r="B59" t="str" cm="1">
        <f t="array" ref="B59:C59">_xlfn.TEXTSPLIT(A59,"_")</f>
        <v>Kobe</v>
      </c>
      <c r="C59" t="str">
        <v>Higgins</v>
      </c>
      <c r="D59" t="s">
        <v>50</v>
      </c>
      <c r="E59" t="s">
        <v>91</v>
      </c>
      <c r="F59" t="s">
        <v>130</v>
      </c>
      <c r="G59" t="s">
        <v>186</v>
      </c>
      <c r="H59" t="s">
        <v>187</v>
      </c>
      <c r="I59" t="str">
        <f t="shared" si="1"/>
        <v>Easy</v>
      </c>
      <c r="J59" t="str">
        <f t="shared" si="4"/>
        <v>CostaneraCenter</v>
      </c>
      <c r="K59" t="str">
        <f t="shared" si="5"/>
        <v>MasterCard</v>
      </c>
      <c r="L59" t="str" cm="1">
        <f t="array" ref="L59">_xlfn.IFS(J59="AltoLasCondes","MallAltoLasCondes",J59="MallPlazaEgaña","MallPlazaEgana",J59="CencoMallCostanera","CostaneraCenter", TRUE,J59)</f>
        <v>CostaneraCenter</v>
      </c>
      <c r="M59" t="str">
        <f t="shared" si="2"/>
        <v>MasterCard</v>
      </c>
      <c r="N59" t="str">
        <f t="shared" si="8"/>
        <v>AUX</v>
      </c>
    </row>
    <row r="60" spans="1:14" x14ac:dyDescent="0.2">
      <c r="A60" t="s">
        <v>159</v>
      </c>
      <c r="B60" t="str" cm="1">
        <f t="array" ref="B60:C60">_xlfn.TEXTSPLIT(A60,"_")</f>
        <v>Tomás</v>
      </c>
      <c r="C60" t="str">
        <v>Guzmán</v>
      </c>
      <c r="D60" t="s">
        <v>7</v>
      </c>
      <c r="E60" t="s">
        <v>91</v>
      </c>
      <c r="F60" t="s">
        <v>36</v>
      </c>
      <c r="G60" t="s">
        <v>188</v>
      </c>
      <c r="H60" t="s">
        <v>189</v>
      </c>
      <c r="I60" t="str">
        <f t="shared" si="1"/>
        <v>Zara</v>
      </c>
      <c r="J60" t="str">
        <f t="shared" si="4"/>
        <v>CostaneraCenter</v>
      </c>
      <c r="K60" t="str">
        <f t="shared" si="5"/>
        <v>MasterCard</v>
      </c>
      <c r="L60" t="str" cm="1">
        <f t="array" ref="L60">_xlfn.IFS(J60="AltoLasCondes","MallAltoLasCondes",J60="MallPlazaEgaña","MallPlazaEgana",J60="CencoMallCostanera","CostaneraCenter", TRUE,J60)</f>
        <v>CostaneraCenter</v>
      </c>
      <c r="M60" t="str">
        <f t="shared" si="2"/>
        <v>MasterCard</v>
      </c>
    </row>
    <row r="61" spans="1:14" x14ac:dyDescent="0.2">
      <c r="A61" t="s">
        <v>105</v>
      </c>
      <c r="B61" t="str" cm="1">
        <f t="array" ref="B61:C61">_xlfn.TEXTSPLIT(A61,"_")</f>
        <v>Camila</v>
      </c>
      <c r="C61" t="str">
        <v>Errázuriz</v>
      </c>
      <c r="D61" t="s">
        <v>190</v>
      </c>
      <c r="E61" t="s">
        <v>8</v>
      </c>
      <c r="F61" t="s">
        <v>52</v>
      </c>
      <c r="G61" t="s">
        <v>157</v>
      </c>
      <c r="H61" t="s">
        <v>191</v>
      </c>
      <c r="I61" t="str">
        <f t="shared" si="1"/>
        <v>SantaIsabel</v>
      </c>
      <c r="J61" t="str">
        <f t="shared" si="4"/>
        <v>MallPlazaVespucio</v>
      </c>
      <c r="K61" t="str">
        <f t="shared" si="5"/>
        <v>Visa</v>
      </c>
      <c r="L61" t="str" cm="1">
        <f t="array" ref="L61">_xlfn.IFS(J61="AltoLasCondes","MallAltoLasCondes",J61="MallPlazaEgaña","MallPlazaEgana",J61="CencoMallCostanera","CostaneraCenter", TRUE,J61)</f>
        <v>MallPlazaVespucio</v>
      </c>
      <c r="M61" t="str">
        <f t="shared" si="2"/>
        <v>Visa</v>
      </c>
    </row>
    <row r="62" spans="1:14" x14ac:dyDescent="0.2">
      <c r="A62" t="s">
        <v>6</v>
      </c>
      <c r="B62" t="str" cm="1">
        <f t="array" ref="B62:C62">_xlfn.TEXTSPLIT(A62,"_")</f>
        <v>Kobe</v>
      </c>
      <c r="C62" t="str">
        <v>Higgins</v>
      </c>
      <c r="D62" t="s">
        <v>102</v>
      </c>
      <c r="E62" t="s">
        <v>25</v>
      </c>
      <c r="F62" t="s">
        <v>75</v>
      </c>
      <c r="G62" t="s">
        <v>192</v>
      </c>
      <c r="H62" t="s">
        <v>193</v>
      </c>
      <c r="I62" t="str">
        <f t="shared" si="1"/>
        <v>Paris</v>
      </c>
      <c r="J62" t="str">
        <f t="shared" si="4"/>
        <v>MallParqueArauco</v>
      </c>
      <c r="K62" t="str">
        <f t="shared" si="5"/>
        <v>Debito</v>
      </c>
      <c r="L62" t="str" cm="1">
        <f t="array" ref="L62">_xlfn.IFS(J62="AltoLasCondes","MallAltoLasCondes",J62="MallPlazaEgaña","MallPlazaEgana",J62="CencoMallCostanera","CostaneraCenter", TRUE,J62)</f>
        <v>MallParqueArauco</v>
      </c>
      <c r="M62" t="str">
        <f t="shared" si="2"/>
        <v>Debito</v>
      </c>
    </row>
    <row r="63" spans="1:14" x14ac:dyDescent="0.2">
      <c r="A63" t="s">
        <v>49</v>
      </c>
      <c r="B63" t="str" cm="1">
        <f t="array" ref="B63:C63">_xlfn.TEXTSPLIT(A63,"_")</f>
        <v>Talia</v>
      </c>
      <c r="C63" t="str">
        <v>Cuevas</v>
      </c>
      <c r="D63" t="s">
        <v>56</v>
      </c>
      <c r="E63" t="s">
        <v>83</v>
      </c>
      <c r="F63" t="s">
        <v>9</v>
      </c>
      <c r="G63" t="s">
        <v>32</v>
      </c>
      <c r="H63" t="s">
        <v>194</v>
      </c>
      <c r="I63" t="str">
        <f t="shared" si="1"/>
        <v>París</v>
      </c>
      <c r="J63" t="str">
        <f t="shared" si="4"/>
        <v>MallplazaEgaña</v>
      </c>
      <c r="K63" t="str">
        <f t="shared" si="5"/>
        <v>Efectivo</v>
      </c>
      <c r="L63" t="str" cm="1">
        <f t="array" ref="L63">_xlfn.IFS(J63="AltoLasCondes","MallAltoLasCondes",J63="MallPlazaEgaña","MallPlazaEgana",J63="CencoMallCostanera","CostaneraCenter", TRUE,J63)</f>
        <v>MallPlazaEgana</v>
      </c>
      <c r="M63" t="str">
        <f t="shared" si="2"/>
        <v>Efectivo</v>
      </c>
    </row>
    <row r="64" spans="1:14" x14ac:dyDescent="0.2">
      <c r="A64" t="s">
        <v>105</v>
      </c>
      <c r="B64" t="str" cm="1">
        <f t="array" ref="B64:C64">_xlfn.TEXTSPLIT(A64,"_")</f>
        <v>Camila</v>
      </c>
      <c r="C64" t="str">
        <v>Errázuriz</v>
      </c>
      <c r="D64" t="s">
        <v>146</v>
      </c>
      <c r="E64" t="s">
        <v>121</v>
      </c>
      <c r="F64" t="s">
        <v>92</v>
      </c>
      <c r="G64" t="s">
        <v>195</v>
      </c>
      <c r="H64" t="s">
        <v>196</v>
      </c>
      <c r="I64" t="str">
        <f t="shared" si="1"/>
        <v>H&amp;M</v>
      </c>
      <c r="J64" t="str">
        <f t="shared" si="4"/>
        <v>CostaneraCenter</v>
      </c>
      <c r="K64" t="str">
        <f t="shared" si="5"/>
        <v>Efectivo</v>
      </c>
      <c r="L64" t="str" cm="1">
        <f t="array" ref="L64">_xlfn.IFS(J64="AltoLasCondes","MallAltoLasCondes",J64="MallPlazaEgaña","MallPlazaEgana",J64="CencoMallCostanera","CostaneraCenter", TRUE,J64)</f>
        <v>CostaneraCenter</v>
      </c>
      <c r="M64" t="str">
        <f t="shared" si="2"/>
        <v>Efectivo</v>
      </c>
    </row>
    <row r="65" spans="1:14" x14ac:dyDescent="0.2">
      <c r="A65" t="s">
        <v>100</v>
      </c>
      <c r="B65" t="str" cm="1">
        <f t="array" ref="B65:C65">_xlfn.TEXTSPLIT(A65,"_")</f>
        <v>Beckett</v>
      </c>
      <c r="C65" t="str">
        <v>Chase</v>
      </c>
      <c r="D65" t="s">
        <v>197</v>
      </c>
      <c r="E65" t="s">
        <v>59</v>
      </c>
      <c r="F65" t="s">
        <v>26</v>
      </c>
      <c r="G65" t="s">
        <v>198</v>
      </c>
      <c r="H65" t="s">
        <v>199</v>
      </c>
      <c r="I65" t="str">
        <f t="shared" si="1"/>
        <v>Ripley</v>
      </c>
      <c r="J65" t="str">
        <f t="shared" si="4"/>
        <v>AltoLasCondes</v>
      </c>
      <c r="K65" t="str">
        <f t="shared" si="5"/>
        <v>AmericanExpress</v>
      </c>
      <c r="L65" t="str" cm="1">
        <f t="array" ref="L65">_xlfn.IFS(J65="AltoLasCondes","MallAltoLasCondes",J65="MallPlazaEgaña","MallPlazaEgana",J65="CencoMallCostanera","CostaneraCenter", TRUE,J65)</f>
        <v>MallAltoLasCondes</v>
      </c>
      <c r="M65" t="str">
        <f t="shared" si="2"/>
        <v>AmericanExpress</v>
      </c>
    </row>
    <row r="66" spans="1:14" x14ac:dyDescent="0.2">
      <c r="A66" t="s">
        <v>105</v>
      </c>
      <c r="B66" t="str" cm="1">
        <f t="array" ref="B66:C66">_xlfn.TEXTSPLIT(A66,"_")</f>
        <v>Camila</v>
      </c>
      <c r="C66" t="str">
        <v>Errázuriz</v>
      </c>
      <c r="D66" t="s">
        <v>197</v>
      </c>
      <c r="E66" t="s">
        <v>59</v>
      </c>
      <c r="F66" t="s">
        <v>115</v>
      </c>
      <c r="G66" t="s">
        <v>154</v>
      </c>
      <c r="H66" t="s">
        <v>200</v>
      </c>
      <c r="I66" t="str">
        <f t="shared" si="1"/>
        <v>Ripley</v>
      </c>
      <c r="J66" t="str">
        <f t="shared" si="4"/>
        <v>AltoLasCondes</v>
      </c>
      <c r="K66" t="str">
        <f t="shared" si="5"/>
        <v>Visa</v>
      </c>
      <c r="L66" t="str" cm="1">
        <f t="array" ref="L66">_xlfn.IFS(J66="AltoLasCondes","MallAltoLasCondes",J66="MallPlazaEgaña","MallPlazaEgana",J66="CencoMallCostanera","CostaneraCenter", TRUE,J66)</f>
        <v>MallAltoLasCondes</v>
      </c>
      <c r="M66" t="str">
        <f t="shared" si="2"/>
        <v>Visa</v>
      </c>
    </row>
    <row r="67" spans="1:14" x14ac:dyDescent="0.2">
      <c r="A67" t="s">
        <v>95</v>
      </c>
      <c r="B67" t="str" cm="1">
        <f t="array" ref="B67:C67">_xlfn.TEXTSPLIT(A67,"_")</f>
        <v>Javiera</v>
      </c>
      <c r="C67" t="str">
        <v>Lorca</v>
      </c>
      <c r="D67" t="s">
        <v>13</v>
      </c>
      <c r="E67" t="s">
        <v>25</v>
      </c>
      <c r="F67" t="s">
        <v>156</v>
      </c>
      <c r="G67" t="s">
        <v>152</v>
      </c>
      <c r="H67" t="s">
        <v>201</v>
      </c>
      <c r="I67" t="str">
        <f t="shared" ref="I67:I130" si="9">SUBSTITUTE(PROPER(TRIM((D67)))," ","")</f>
        <v>Falabella</v>
      </c>
      <c r="J67" t="str">
        <f t="shared" si="4"/>
        <v>MallParqueArauco</v>
      </c>
      <c r="K67" t="str">
        <f t="shared" si="5"/>
        <v>Débito</v>
      </c>
      <c r="L67" t="str" cm="1">
        <f t="array" ref="L67">_xlfn.IFS(J67="AltoLasCondes","MallAltoLasCondes",J67="MallPlazaEgaña","MallPlazaEgana",J67="CencoMallCostanera","CostaneraCenter", TRUE,J67)</f>
        <v>MallParqueArauco</v>
      </c>
      <c r="M67" t="str">
        <f t="shared" ref="M67:M130" si="10">IF(K67="Débito","Debito",K67)</f>
        <v>Debito</v>
      </c>
    </row>
    <row r="68" spans="1:14" x14ac:dyDescent="0.2">
      <c r="A68" t="s">
        <v>100</v>
      </c>
      <c r="B68" t="str" cm="1">
        <f t="array" ref="B68:C68">_xlfn.TEXTSPLIT(A68,"_")</f>
        <v>Beckett</v>
      </c>
      <c r="C68" t="str">
        <v>Chase</v>
      </c>
      <c r="D68" t="s">
        <v>19</v>
      </c>
      <c r="E68" t="s">
        <v>91</v>
      </c>
      <c r="F68" t="s">
        <v>92</v>
      </c>
      <c r="G68" t="s">
        <v>202</v>
      </c>
      <c r="H68" t="s">
        <v>203</v>
      </c>
      <c r="I68" t="str">
        <f t="shared" si="9"/>
        <v>Falabella</v>
      </c>
      <c r="J68" t="str">
        <f t="shared" si="4"/>
        <v>CostaneraCenter</v>
      </c>
      <c r="K68" t="str">
        <f t="shared" si="5"/>
        <v>Efectivo</v>
      </c>
      <c r="L68" t="str" cm="1">
        <f t="array" ref="L68">_xlfn.IFS(J68="AltoLasCondes","MallAltoLasCondes",J68="MallPlazaEgaña","MallPlazaEgana",J68="CencoMallCostanera","CostaneraCenter", TRUE,J68)</f>
        <v>CostaneraCenter</v>
      </c>
      <c r="M68" t="str">
        <f t="shared" si="10"/>
        <v>Efectivo</v>
      </c>
    </row>
    <row r="69" spans="1:14" x14ac:dyDescent="0.2">
      <c r="A69" t="s">
        <v>29</v>
      </c>
      <c r="B69" t="str" cm="1">
        <f t="array" ref="B69:C69">_xlfn.TEXTSPLIT(A69,"_")</f>
        <v>Lucas</v>
      </c>
      <c r="C69" t="str">
        <v>Echeverría</v>
      </c>
      <c r="D69" t="s">
        <v>19</v>
      </c>
      <c r="E69" t="s">
        <v>25</v>
      </c>
      <c r="F69" t="s">
        <v>15</v>
      </c>
      <c r="G69" t="s">
        <v>204</v>
      </c>
      <c r="H69" t="s">
        <v>205</v>
      </c>
      <c r="I69" t="str">
        <f t="shared" si="9"/>
        <v>Falabella</v>
      </c>
      <c r="J69" t="str">
        <f t="shared" si="4"/>
        <v>MallParqueArauco</v>
      </c>
      <c r="K69" t="str">
        <f t="shared" si="5"/>
        <v>MasterCard</v>
      </c>
      <c r="L69" t="str" cm="1">
        <f t="array" ref="L69">_xlfn.IFS(J69="AltoLasCondes","MallAltoLasCondes",J69="MallPlazaEgaña","MallPlazaEgana",J69="CencoMallCostanera","CostaneraCenter", TRUE,J69)</f>
        <v>MallParqueArauco</v>
      </c>
      <c r="M69" t="str">
        <f t="shared" si="10"/>
        <v>MasterCard</v>
      </c>
    </row>
    <row r="70" spans="1:14" x14ac:dyDescent="0.2">
      <c r="A70" t="s">
        <v>206</v>
      </c>
      <c r="B70" t="str" cm="1">
        <f t="array" ref="B70:C70">_xlfn.TEXTSPLIT(A70,"_")</f>
        <v>Mateo</v>
      </c>
      <c r="C70" t="str">
        <v>Fuenzalida</v>
      </c>
      <c r="D70" t="s">
        <v>197</v>
      </c>
      <c r="E70" t="s">
        <v>67</v>
      </c>
      <c r="F70" t="s">
        <v>26</v>
      </c>
      <c r="G70" t="s">
        <v>207</v>
      </c>
      <c r="H70" t="s">
        <v>208</v>
      </c>
      <c r="I70" t="str">
        <f t="shared" si="9"/>
        <v>Ripley</v>
      </c>
      <c r="J70" t="str">
        <f t="shared" si="4"/>
        <v>CencoMallCostanera</v>
      </c>
      <c r="K70" t="str">
        <f t="shared" si="5"/>
        <v>AmericanExpress</v>
      </c>
      <c r="L70" t="str" cm="1">
        <f t="array" ref="L70">_xlfn.IFS(J70="AltoLasCondes","MallAltoLasCondes",J70="MallPlazaEgaña","MallPlazaEgana",J70="CencoMallCostanera","CostaneraCenter", TRUE,J70)</f>
        <v>CostaneraCenter</v>
      </c>
      <c r="M70" t="str">
        <f t="shared" si="10"/>
        <v>AmericanExpress</v>
      </c>
    </row>
    <row r="71" spans="1:14" x14ac:dyDescent="0.2">
      <c r="A71" t="s">
        <v>206</v>
      </c>
      <c r="B71" t="str" cm="1">
        <f t="array" ref="B71:C71">_xlfn.TEXTSPLIT(A71,"_")</f>
        <v>Mateo</v>
      </c>
      <c r="C71" t="str">
        <v>Fuenzalida</v>
      </c>
      <c r="D71" t="s">
        <v>82</v>
      </c>
      <c r="E71" t="s">
        <v>51</v>
      </c>
      <c r="F71" t="s">
        <v>26</v>
      </c>
      <c r="G71" t="s">
        <v>154</v>
      </c>
      <c r="H71" t="s">
        <v>209</v>
      </c>
      <c r="I71" t="str">
        <f t="shared" si="9"/>
        <v>Ripley</v>
      </c>
      <c r="J71" t="str">
        <f t="shared" si="4"/>
        <v>MallplazaVespucio</v>
      </c>
      <c r="K71" t="str">
        <f t="shared" si="5"/>
        <v>AmericanExpress</v>
      </c>
      <c r="L71" t="str" cm="1">
        <f t="array" ref="L71">_xlfn.IFS(J71="AltoLasCondes","MallAltoLasCondes",J71="MallPlazaEgaña","MallPlazaEgana",J71="CencoMallCostanera","CostaneraCenter", TRUE,J71)</f>
        <v>MallplazaVespucio</v>
      </c>
      <c r="M71" t="str">
        <f t="shared" si="10"/>
        <v>AmericanExpress</v>
      </c>
    </row>
    <row r="72" spans="1:14" x14ac:dyDescent="0.2">
      <c r="A72" t="s">
        <v>66</v>
      </c>
      <c r="B72" t="str" cm="1">
        <f t="array" ref="B72:C72">_xlfn.TEXTSPLIT(A72,"_")</f>
        <v>Priscilia</v>
      </c>
      <c r="C72" t="str">
        <v>Welch</v>
      </c>
      <c r="D72" t="s">
        <v>13</v>
      </c>
      <c r="E72" t="s">
        <v>83</v>
      </c>
      <c r="F72" t="s">
        <v>26</v>
      </c>
      <c r="G72" t="s">
        <v>210</v>
      </c>
      <c r="H72" t="s">
        <v>211</v>
      </c>
      <c r="I72" t="str">
        <f t="shared" si="9"/>
        <v>Falabella</v>
      </c>
      <c r="J72" t="str">
        <f t="shared" si="4"/>
        <v>MallplazaEgaña</v>
      </c>
      <c r="K72" t="str">
        <f t="shared" si="5"/>
        <v>AmericanExpress</v>
      </c>
      <c r="L72" t="str" cm="1">
        <f t="array" ref="L72">_xlfn.IFS(J72="AltoLasCondes","MallAltoLasCondes",J72="MallPlazaEgaña","MallPlazaEgana",J72="CencoMallCostanera","CostaneraCenter", TRUE,J72)</f>
        <v>MallPlazaEgana</v>
      </c>
      <c r="M72" t="str">
        <f t="shared" si="10"/>
        <v>AmericanExpress</v>
      </c>
      <c r="N72" t="str">
        <f t="shared" ref="N72:N73" si="11">LEFT(H72,3)</f>
        <v>AUX</v>
      </c>
    </row>
    <row r="73" spans="1:14" x14ac:dyDescent="0.2">
      <c r="A73" t="s">
        <v>180</v>
      </c>
      <c r="B73" t="str" cm="1">
        <f t="array" ref="B73:C73">_xlfn.TEXTSPLIT(A73,"_")</f>
        <v>Florencia</v>
      </c>
      <c r="C73" t="str">
        <v>Matte</v>
      </c>
      <c r="D73" t="s">
        <v>125</v>
      </c>
      <c r="E73" t="s">
        <v>121</v>
      </c>
      <c r="F73" t="s">
        <v>156</v>
      </c>
      <c r="G73" t="s">
        <v>112</v>
      </c>
      <c r="H73" t="s">
        <v>212</v>
      </c>
      <c r="I73" t="str">
        <f t="shared" si="9"/>
        <v>Ripley</v>
      </c>
      <c r="J73" t="str">
        <f t="shared" si="4"/>
        <v>CostaneraCenter</v>
      </c>
      <c r="K73" t="str">
        <f t="shared" si="5"/>
        <v>Débito</v>
      </c>
      <c r="L73" t="str" cm="1">
        <f t="array" ref="L73">_xlfn.IFS(J73="AltoLasCondes","MallAltoLasCondes",J73="MallPlazaEgaña","MallPlazaEgana",J73="CencoMallCostanera","CostaneraCenter", TRUE,J73)</f>
        <v>CostaneraCenter</v>
      </c>
      <c r="M73" t="str">
        <f t="shared" si="10"/>
        <v>Debito</v>
      </c>
      <c r="N73" t="str">
        <f t="shared" si="11"/>
        <v>RET</v>
      </c>
    </row>
    <row r="74" spans="1:14" x14ac:dyDescent="0.2">
      <c r="A74" t="s">
        <v>29</v>
      </c>
      <c r="B74" t="str" cm="1">
        <f t="array" ref="B74:C74">_xlfn.TEXTSPLIT(A74,"_")</f>
        <v>Lucas</v>
      </c>
      <c r="C74" t="str">
        <v>Echeverría</v>
      </c>
      <c r="D74" t="s">
        <v>167</v>
      </c>
      <c r="E74" t="s">
        <v>86</v>
      </c>
      <c r="F74" t="s">
        <v>26</v>
      </c>
      <c r="G74" t="s">
        <v>213</v>
      </c>
      <c r="H74" t="s">
        <v>214</v>
      </c>
      <c r="I74" t="str">
        <f t="shared" si="9"/>
        <v>Jumbo</v>
      </c>
      <c r="J74" t="str">
        <f t="shared" si="4"/>
        <v>CencoMallCostanera</v>
      </c>
      <c r="K74" t="str">
        <f t="shared" si="5"/>
        <v>AmericanExpress</v>
      </c>
      <c r="L74" t="str" cm="1">
        <f t="array" ref="L74">_xlfn.IFS(J74="AltoLasCondes","MallAltoLasCondes",J74="MallPlazaEgaña","MallPlazaEgana",J74="CencoMallCostanera","CostaneraCenter", TRUE,J74)</f>
        <v>CostaneraCenter</v>
      </c>
      <c r="M74" t="str">
        <f t="shared" si="10"/>
        <v>AmericanExpress</v>
      </c>
    </row>
    <row r="75" spans="1:14" x14ac:dyDescent="0.2">
      <c r="A75" t="s">
        <v>215</v>
      </c>
      <c r="B75" t="str" cm="1">
        <f t="array" ref="B75:C75">_xlfn.TEXTSPLIT(A75,"_")</f>
        <v>Cole</v>
      </c>
      <c r="C75" t="str">
        <v>Bray</v>
      </c>
      <c r="D75" t="s">
        <v>167</v>
      </c>
      <c r="E75" t="s">
        <v>216</v>
      </c>
      <c r="F75" t="s">
        <v>134</v>
      </c>
      <c r="G75" t="s">
        <v>175</v>
      </c>
      <c r="H75" t="s">
        <v>217</v>
      </c>
      <c r="I75" t="str">
        <f t="shared" si="9"/>
        <v>Jumbo</v>
      </c>
      <c r="J75" t="str">
        <f t="shared" si="4"/>
        <v>MallPlazaEgana</v>
      </c>
      <c r="K75" t="str">
        <f t="shared" si="5"/>
        <v>AmericanExpress</v>
      </c>
      <c r="L75" t="str" cm="1">
        <f t="array" ref="L75">_xlfn.IFS(J75="AltoLasCondes","MallAltoLasCondes",J75="MallPlazaEgaña","MallPlazaEgana",J75="CencoMallCostanera","CostaneraCenter", TRUE,J75)</f>
        <v>MallPlazaEgana</v>
      </c>
      <c r="M75" t="str">
        <f t="shared" si="10"/>
        <v>AmericanExpress</v>
      </c>
    </row>
    <row r="76" spans="1:14" x14ac:dyDescent="0.2">
      <c r="A76" t="s">
        <v>105</v>
      </c>
      <c r="B76" t="str" cm="1">
        <f t="array" ref="B76:C76">_xlfn.TEXTSPLIT(A76,"_")</f>
        <v>Camila</v>
      </c>
      <c r="C76" t="str">
        <v>Errázuriz</v>
      </c>
      <c r="D76" t="s">
        <v>167</v>
      </c>
      <c r="E76" t="s">
        <v>51</v>
      </c>
      <c r="F76" t="s">
        <v>156</v>
      </c>
      <c r="G76" t="s">
        <v>218</v>
      </c>
      <c r="H76" t="s">
        <v>219</v>
      </c>
      <c r="I76" t="str">
        <f t="shared" si="9"/>
        <v>Jumbo</v>
      </c>
      <c r="J76" t="str">
        <f t="shared" si="4"/>
        <v>MallplazaVespucio</v>
      </c>
      <c r="K76" t="str">
        <f t="shared" si="5"/>
        <v>Débito</v>
      </c>
      <c r="L76" t="str" cm="1">
        <f t="array" ref="L76">_xlfn.IFS(J76="AltoLasCondes","MallAltoLasCondes",J76="MallPlazaEgaña","MallPlazaEgana",J76="CencoMallCostanera","CostaneraCenter", TRUE,J76)</f>
        <v>MallplazaVespucio</v>
      </c>
      <c r="M76" t="str">
        <f t="shared" si="10"/>
        <v>Debito</v>
      </c>
    </row>
    <row r="77" spans="1:14" x14ac:dyDescent="0.2">
      <c r="A77" t="s">
        <v>108</v>
      </c>
      <c r="B77" t="str" cm="1">
        <f t="array" ref="B77:C77">_xlfn.TEXTSPLIT(A77,"_")</f>
        <v>Martina</v>
      </c>
      <c r="C77" t="str">
        <v>Salinas</v>
      </c>
      <c r="D77" t="s">
        <v>165</v>
      </c>
      <c r="E77" t="s">
        <v>86</v>
      </c>
      <c r="F77" t="s">
        <v>87</v>
      </c>
      <c r="G77" t="s">
        <v>220</v>
      </c>
      <c r="H77" t="s">
        <v>221</v>
      </c>
      <c r="I77" t="str">
        <f t="shared" si="9"/>
        <v>Sta.Isabel</v>
      </c>
      <c r="J77" t="str">
        <f t="shared" si="4"/>
        <v>CencoMallCostanera</v>
      </c>
      <c r="K77" t="str">
        <f t="shared" si="5"/>
        <v>Visa</v>
      </c>
      <c r="L77" t="str" cm="1">
        <f t="array" ref="L77">_xlfn.IFS(J77="AltoLasCondes","MallAltoLasCondes",J77="MallPlazaEgaña","MallPlazaEgana",J77="CencoMallCostanera","CostaneraCenter", TRUE,J77)</f>
        <v>CostaneraCenter</v>
      </c>
      <c r="M77" t="str">
        <f t="shared" si="10"/>
        <v>Visa</v>
      </c>
    </row>
    <row r="78" spans="1:14" x14ac:dyDescent="0.2">
      <c r="A78" t="s">
        <v>162</v>
      </c>
      <c r="B78" t="str" cm="1">
        <f t="array" ref="B78:C78">_xlfn.TEXTSPLIT(A78,"_")</f>
        <v>Elaina</v>
      </c>
      <c r="C78" t="str">
        <v>Giles</v>
      </c>
      <c r="D78" t="s">
        <v>82</v>
      </c>
      <c r="E78" t="s">
        <v>91</v>
      </c>
      <c r="F78" t="s">
        <v>26</v>
      </c>
      <c r="G78" t="s">
        <v>175</v>
      </c>
      <c r="H78" t="s">
        <v>222</v>
      </c>
      <c r="I78" t="str">
        <f t="shared" si="9"/>
        <v>Ripley</v>
      </c>
      <c r="J78" t="str">
        <f t="shared" si="4"/>
        <v>CostaneraCenter</v>
      </c>
      <c r="K78" t="str">
        <f t="shared" si="5"/>
        <v>AmericanExpress</v>
      </c>
      <c r="L78" t="str" cm="1">
        <f t="array" ref="L78">_xlfn.IFS(J78="AltoLasCondes","MallAltoLasCondes",J78="MallPlazaEgaña","MallPlazaEgana",J78="CencoMallCostanera","CostaneraCenter", TRUE,J78)</f>
        <v>CostaneraCenter</v>
      </c>
      <c r="M78" t="str">
        <f t="shared" si="10"/>
        <v>AmericanExpress</v>
      </c>
    </row>
    <row r="79" spans="1:14" x14ac:dyDescent="0.2">
      <c r="A79" t="s">
        <v>206</v>
      </c>
      <c r="B79" t="str" cm="1">
        <f t="array" ref="B79:C79">_xlfn.TEXTSPLIT(A79,"_")</f>
        <v>Mateo</v>
      </c>
      <c r="C79" t="str">
        <v>Fuenzalida</v>
      </c>
      <c r="D79" t="s">
        <v>165</v>
      </c>
      <c r="E79" t="s">
        <v>86</v>
      </c>
      <c r="F79" t="s">
        <v>52</v>
      </c>
      <c r="G79" t="s">
        <v>175</v>
      </c>
      <c r="H79" t="s">
        <v>223</v>
      </c>
      <c r="I79" t="str">
        <f t="shared" si="9"/>
        <v>Sta.Isabel</v>
      </c>
      <c r="J79" t="str">
        <f t="shared" si="4"/>
        <v>CencoMallCostanera</v>
      </c>
      <c r="K79" t="str">
        <f t="shared" si="5"/>
        <v>Visa</v>
      </c>
      <c r="L79" t="str" cm="1">
        <f t="array" ref="L79">_xlfn.IFS(J79="AltoLasCondes","MallAltoLasCondes",J79="MallPlazaEgaña","MallPlazaEgana",J79="CencoMallCostanera","CostaneraCenter", TRUE,J79)</f>
        <v>CostaneraCenter</v>
      </c>
      <c r="M79" t="str">
        <f t="shared" si="10"/>
        <v>Visa</v>
      </c>
    </row>
    <row r="80" spans="1:14" x14ac:dyDescent="0.2">
      <c r="A80" t="s">
        <v>24</v>
      </c>
      <c r="B80" t="str" cm="1">
        <f t="array" ref="B80:C80">_xlfn.TEXTSPLIT(A80,"_")</f>
        <v>Dante</v>
      </c>
      <c r="C80" t="str">
        <v>Morrow</v>
      </c>
      <c r="D80" t="s">
        <v>90</v>
      </c>
      <c r="E80" t="s">
        <v>216</v>
      </c>
      <c r="F80" t="s">
        <v>15</v>
      </c>
      <c r="G80" t="s">
        <v>224</v>
      </c>
      <c r="H80" t="s">
        <v>225</v>
      </c>
      <c r="I80" t="str">
        <f t="shared" si="9"/>
        <v>Paris</v>
      </c>
      <c r="J80" t="str">
        <f t="shared" si="4"/>
        <v>MallPlazaEgana</v>
      </c>
      <c r="K80" t="str">
        <f t="shared" si="5"/>
        <v>MasterCard</v>
      </c>
      <c r="L80" t="str" cm="1">
        <f t="array" ref="L80">_xlfn.IFS(J80="AltoLasCondes","MallAltoLasCondes",J80="MallPlazaEgaña","MallPlazaEgana",J80="CencoMallCostanera","CostaneraCenter", TRUE,J80)</f>
        <v>MallPlazaEgana</v>
      </c>
      <c r="M80" t="str">
        <f t="shared" si="10"/>
        <v>MasterCard</v>
      </c>
    </row>
    <row r="81" spans="1:14" x14ac:dyDescent="0.2">
      <c r="A81" t="s">
        <v>70</v>
      </c>
      <c r="B81" t="str" cm="1">
        <f t="array" ref="B81:C81">_xlfn.TEXTSPLIT(A81,"_")</f>
        <v>Liora</v>
      </c>
      <c r="C81" t="str">
        <v>Pace</v>
      </c>
      <c r="D81" t="s">
        <v>197</v>
      </c>
      <c r="E81" t="s">
        <v>59</v>
      </c>
      <c r="F81" t="s">
        <v>26</v>
      </c>
      <c r="G81" t="s">
        <v>226</v>
      </c>
      <c r="H81" t="s">
        <v>227</v>
      </c>
      <c r="I81" t="str">
        <f t="shared" si="9"/>
        <v>Ripley</v>
      </c>
      <c r="J81" t="str">
        <f t="shared" si="4"/>
        <v>AltoLasCondes</v>
      </c>
      <c r="K81" t="str">
        <f t="shared" si="5"/>
        <v>AmericanExpress</v>
      </c>
      <c r="L81" t="str" cm="1">
        <f t="array" ref="L81">_xlfn.IFS(J81="AltoLasCondes","MallAltoLasCondes",J81="MallPlazaEgaña","MallPlazaEgana",J81="CencoMallCostanera","CostaneraCenter", TRUE,J81)</f>
        <v>MallAltoLasCondes</v>
      </c>
      <c r="M81" t="str">
        <f t="shared" si="10"/>
        <v>AmericanExpress</v>
      </c>
    </row>
    <row r="82" spans="1:14" x14ac:dyDescent="0.2">
      <c r="A82" t="s">
        <v>29</v>
      </c>
      <c r="B82" t="str" cm="1">
        <f t="array" ref="B82:C82">_xlfn.TEXTSPLIT(A82,"_")</f>
        <v>Lucas</v>
      </c>
      <c r="C82" t="str">
        <v>Echeverría</v>
      </c>
      <c r="D82" t="s">
        <v>13</v>
      </c>
      <c r="E82" t="s">
        <v>25</v>
      </c>
      <c r="F82" t="s">
        <v>87</v>
      </c>
      <c r="G82" t="s">
        <v>228</v>
      </c>
      <c r="H82" t="s">
        <v>229</v>
      </c>
      <c r="I82" t="str">
        <f t="shared" si="9"/>
        <v>Falabella</v>
      </c>
      <c r="J82" t="str">
        <f t="shared" ref="J82:J145" si="12">SUBSTITUTE(PROPER(TRIM((E82)))," ","")</f>
        <v>MallParqueArauco</v>
      </c>
      <c r="K82" t="str">
        <f t="shared" ref="K82:K145" si="13">SUBSTITUTE(PROPER(TRIM((F82)))," ","")</f>
        <v>Visa</v>
      </c>
      <c r="L82" t="str" cm="1">
        <f t="array" ref="L82">_xlfn.IFS(J82="AltoLasCondes","MallAltoLasCondes",J82="MallPlazaEgaña","MallPlazaEgana",J82="CencoMallCostanera","CostaneraCenter", TRUE,J82)</f>
        <v>MallParqueArauco</v>
      </c>
      <c r="M82" t="str">
        <f t="shared" si="10"/>
        <v>Visa</v>
      </c>
    </row>
    <row r="83" spans="1:14" x14ac:dyDescent="0.2">
      <c r="A83" t="s">
        <v>172</v>
      </c>
      <c r="B83" t="str" cm="1">
        <f t="array" ref="B83:C83">_xlfn.TEXTSPLIT(A83,"_")</f>
        <v>Mila</v>
      </c>
      <c r="C83" t="str">
        <v>Rivers</v>
      </c>
      <c r="D83" t="s">
        <v>19</v>
      </c>
      <c r="E83" t="s">
        <v>25</v>
      </c>
      <c r="F83" t="s">
        <v>21</v>
      </c>
      <c r="G83" t="s">
        <v>230</v>
      </c>
      <c r="H83" t="s">
        <v>231</v>
      </c>
      <c r="I83" t="str">
        <f t="shared" si="9"/>
        <v>Falabella</v>
      </c>
      <c r="J83" t="str">
        <f t="shared" si="12"/>
        <v>MallParqueArauco</v>
      </c>
      <c r="K83" t="str">
        <f t="shared" si="13"/>
        <v>Visa</v>
      </c>
      <c r="L83" t="str" cm="1">
        <f t="array" ref="L83">_xlfn.IFS(J83="AltoLasCondes","MallAltoLasCondes",J83="MallPlazaEgaña","MallPlazaEgana",J83="CencoMallCostanera","CostaneraCenter", TRUE,J83)</f>
        <v>MallParqueArauco</v>
      </c>
      <c r="M83" t="str">
        <f t="shared" si="10"/>
        <v>Visa</v>
      </c>
    </row>
    <row r="84" spans="1:14" x14ac:dyDescent="0.2">
      <c r="A84" t="s">
        <v>140</v>
      </c>
      <c r="B84" t="str" cm="1">
        <f t="array" ref="B84:C84">_xlfn.TEXTSPLIT(A84,"_")</f>
        <v>Benjamín</v>
      </c>
      <c r="C84" t="str">
        <v>Vargas</v>
      </c>
      <c r="D84" t="s">
        <v>74</v>
      </c>
      <c r="E84" t="s">
        <v>42</v>
      </c>
      <c r="F84" t="s">
        <v>21</v>
      </c>
      <c r="G84" t="s">
        <v>232</v>
      </c>
      <c r="H84" t="s">
        <v>233</v>
      </c>
      <c r="I84" t="str">
        <f t="shared" si="9"/>
        <v>Jumbo</v>
      </c>
      <c r="J84" t="str">
        <f t="shared" si="12"/>
        <v>AltoLasCondes</v>
      </c>
      <c r="K84" t="str">
        <f t="shared" si="13"/>
        <v>Visa</v>
      </c>
      <c r="L84" t="str" cm="1">
        <f t="array" ref="L84">_xlfn.IFS(J84="AltoLasCondes","MallAltoLasCondes",J84="MallPlazaEgaña","MallPlazaEgana",J84="CencoMallCostanera","CostaneraCenter", TRUE,J84)</f>
        <v>MallAltoLasCondes</v>
      </c>
      <c r="M84" t="str">
        <f t="shared" si="10"/>
        <v>Visa</v>
      </c>
    </row>
    <row r="85" spans="1:14" x14ac:dyDescent="0.2">
      <c r="A85" t="s">
        <v>172</v>
      </c>
      <c r="B85" t="str" cm="1">
        <f t="array" ref="B85:C85">_xlfn.TEXTSPLIT(A85,"_")</f>
        <v>Mila</v>
      </c>
      <c r="C85" t="str">
        <v>Rivers</v>
      </c>
      <c r="D85" t="s">
        <v>46</v>
      </c>
      <c r="E85" t="s">
        <v>25</v>
      </c>
      <c r="F85" t="s">
        <v>43</v>
      </c>
      <c r="G85" t="s">
        <v>234</v>
      </c>
      <c r="H85" t="s">
        <v>235</v>
      </c>
      <c r="I85" t="str">
        <f t="shared" si="9"/>
        <v>Easy</v>
      </c>
      <c r="J85" t="str">
        <f t="shared" si="12"/>
        <v>MallParqueArauco</v>
      </c>
      <c r="K85" t="str">
        <f t="shared" si="13"/>
        <v>Mastercard</v>
      </c>
      <c r="L85" t="str" cm="1">
        <f t="array" ref="L85">_xlfn.IFS(J85="AltoLasCondes","MallAltoLasCondes",J85="MallPlazaEgaña","MallPlazaEgana",J85="CencoMallCostanera","CostaneraCenter", TRUE,J85)</f>
        <v>MallParqueArauco</v>
      </c>
      <c r="M85" t="str">
        <f t="shared" si="10"/>
        <v>Mastercard</v>
      </c>
    </row>
    <row r="86" spans="1:14" x14ac:dyDescent="0.2">
      <c r="A86" t="s">
        <v>49</v>
      </c>
      <c r="B86" t="str" cm="1">
        <f t="array" ref="B86:C86">_xlfn.TEXTSPLIT(A86,"_")</f>
        <v>Talia</v>
      </c>
      <c r="C86" t="str">
        <v>Cuevas</v>
      </c>
      <c r="D86" t="s">
        <v>125</v>
      </c>
      <c r="E86" t="s">
        <v>31</v>
      </c>
      <c r="F86" t="s">
        <v>26</v>
      </c>
      <c r="G86" t="s">
        <v>144</v>
      </c>
      <c r="H86" t="s">
        <v>236</v>
      </c>
      <c r="I86" t="str">
        <f t="shared" si="9"/>
        <v>Ripley</v>
      </c>
      <c r="J86" t="str">
        <f t="shared" si="12"/>
        <v>ParqueArauco</v>
      </c>
      <c r="K86" t="str">
        <f t="shared" si="13"/>
        <v>AmericanExpress</v>
      </c>
      <c r="L86" t="str" cm="1">
        <f t="array" ref="L86">_xlfn.IFS(J86="AltoLasCondes","MallAltoLasCondes",J86="MallPlazaEgaña","MallPlazaEgana",J86="CencoMallCostanera","CostaneraCenter", TRUE,J86)</f>
        <v>ParqueArauco</v>
      </c>
      <c r="M86" t="str">
        <f t="shared" si="10"/>
        <v>AmericanExpress</v>
      </c>
      <c r="N86" t="str">
        <f t="shared" ref="N86:N87" si="14">LEFT(H86,3)</f>
        <v>AUX</v>
      </c>
    </row>
    <row r="87" spans="1:14" x14ac:dyDescent="0.2">
      <c r="A87" t="s">
        <v>105</v>
      </c>
      <c r="B87" t="str" cm="1">
        <f t="array" ref="B87:C87">_xlfn.TEXTSPLIT(A87,"_")</f>
        <v>Camila</v>
      </c>
      <c r="C87" t="str">
        <v>Errázuriz</v>
      </c>
      <c r="D87" t="s">
        <v>197</v>
      </c>
      <c r="E87" t="s">
        <v>67</v>
      </c>
      <c r="F87" t="s">
        <v>15</v>
      </c>
      <c r="G87" t="s">
        <v>237</v>
      </c>
      <c r="H87" t="s">
        <v>238</v>
      </c>
      <c r="I87" t="str">
        <f t="shared" si="9"/>
        <v>Ripley</v>
      </c>
      <c r="J87" t="str">
        <f t="shared" si="12"/>
        <v>CencoMallCostanera</v>
      </c>
      <c r="K87" t="str">
        <f t="shared" si="13"/>
        <v>MasterCard</v>
      </c>
      <c r="L87" t="str" cm="1">
        <f t="array" ref="L87">_xlfn.IFS(J87="AltoLasCondes","MallAltoLasCondes",J87="MallPlazaEgaña","MallPlazaEgana",J87="CencoMallCostanera","CostaneraCenter", TRUE,J87)</f>
        <v>CostaneraCenter</v>
      </c>
      <c r="M87" t="str">
        <f t="shared" si="10"/>
        <v>MasterCard</v>
      </c>
      <c r="N87" t="str">
        <f t="shared" si="14"/>
        <v>AUX</v>
      </c>
    </row>
    <row r="88" spans="1:14" x14ac:dyDescent="0.2">
      <c r="A88" t="s">
        <v>24</v>
      </c>
      <c r="B88" t="str" cm="1">
        <f t="array" ref="B88:C88">_xlfn.TEXTSPLIT(A88,"_")</f>
        <v>Dante</v>
      </c>
      <c r="C88" t="str">
        <v>Morrow</v>
      </c>
      <c r="D88" t="s">
        <v>46</v>
      </c>
      <c r="E88" t="s">
        <v>83</v>
      </c>
      <c r="F88" t="s">
        <v>36</v>
      </c>
      <c r="G88" t="s">
        <v>239</v>
      </c>
      <c r="H88" t="s">
        <v>240</v>
      </c>
      <c r="I88" t="str">
        <f t="shared" si="9"/>
        <v>Easy</v>
      </c>
      <c r="J88" t="str">
        <f t="shared" si="12"/>
        <v>MallplazaEgaña</v>
      </c>
      <c r="K88" t="str">
        <f t="shared" si="13"/>
        <v>MasterCard</v>
      </c>
      <c r="L88" t="str" cm="1">
        <f t="array" ref="L88">_xlfn.IFS(J88="AltoLasCondes","MallAltoLasCondes",J88="MallPlazaEgaña","MallPlazaEgana",J88="CencoMallCostanera","CostaneraCenter", TRUE,J88)</f>
        <v>MallPlazaEgana</v>
      </c>
      <c r="M88" t="str">
        <f t="shared" si="10"/>
        <v>MasterCard</v>
      </c>
    </row>
    <row r="89" spans="1:14" x14ac:dyDescent="0.2">
      <c r="A89" t="s">
        <v>95</v>
      </c>
      <c r="B89" t="str" cm="1">
        <f t="array" ref="B89:C89">_xlfn.TEXTSPLIT(A89,"_")</f>
        <v>Javiera</v>
      </c>
      <c r="C89" t="str">
        <v>Lorca</v>
      </c>
      <c r="D89" t="s">
        <v>120</v>
      </c>
      <c r="E89" t="s">
        <v>31</v>
      </c>
      <c r="F89" t="s">
        <v>87</v>
      </c>
      <c r="G89" t="s">
        <v>103</v>
      </c>
      <c r="H89" t="s">
        <v>241</v>
      </c>
      <c r="I89" t="str">
        <f t="shared" si="9"/>
        <v>Paris</v>
      </c>
      <c r="J89" t="str">
        <f t="shared" si="12"/>
        <v>ParqueArauco</v>
      </c>
      <c r="K89" t="str">
        <f t="shared" si="13"/>
        <v>Visa</v>
      </c>
      <c r="L89" t="str" cm="1">
        <f t="array" ref="L89">_xlfn.IFS(J89="AltoLasCondes","MallAltoLasCondes",J89="MallPlazaEgaña","MallPlazaEgana",J89="CencoMallCostanera","CostaneraCenter", TRUE,J89)</f>
        <v>ParqueArauco</v>
      </c>
      <c r="M89" t="str">
        <f t="shared" si="10"/>
        <v>Visa</v>
      </c>
    </row>
    <row r="90" spans="1:14" x14ac:dyDescent="0.2">
      <c r="A90" t="s">
        <v>124</v>
      </c>
      <c r="B90" t="str" cm="1">
        <f t="array" ref="B90:C90">_xlfn.TEXTSPLIT(A90,"_")</f>
        <v>Ignacio</v>
      </c>
      <c r="C90" t="str">
        <v>Reyes</v>
      </c>
      <c r="D90" t="s">
        <v>125</v>
      </c>
      <c r="E90" t="s">
        <v>79</v>
      </c>
      <c r="F90" t="s">
        <v>26</v>
      </c>
      <c r="G90" t="s">
        <v>39</v>
      </c>
      <c r="H90" t="s">
        <v>242</v>
      </c>
      <c r="I90" t="str">
        <f t="shared" si="9"/>
        <v>Ripley</v>
      </c>
      <c r="J90" t="str">
        <f t="shared" si="12"/>
        <v>ParqueArauco</v>
      </c>
      <c r="K90" t="str">
        <f t="shared" si="13"/>
        <v>AmericanExpress</v>
      </c>
      <c r="L90" t="str" cm="1">
        <f t="array" ref="L90">_xlfn.IFS(J90="AltoLasCondes","MallAltoLasCondes",J90="MallPlazaEgaña","MallPlazaEgana",J90="CencoMallCostanera","CostaneraCenter", TRUE,J90)</f>
        <v>ParqueArauco</v>
      </c>
      <c r="M90" t="str">
        <f t="shared" si="10"/>
        <v>AmericanExpress</v>
      </c>
    </row>
    <row r="91" spans="1:14" x14ac:dyDescent="0.2">
      <c r="A91" t="s">
        <v>243</v>
      </c>
      <c r="B91" t="str" cm="1">
        <f t="array" ref="B91:C91">_xlfn.TEXTSPLIT(A91,"_")</f>
        <v>Valentina</v>
      </c>
      <c r="C91" t="str">
        <v>Soto</v>
      </c>
      <c r="D91" t="s">
        <v>63</v>
      </c>
      <c r="E91" t="s">
        <v>121</v>
      </c>
      <c r="F91" t="s">
        <v>244</v>
      </c>
      <c r="G91" t="s">
        <v>245</v>
      </c>
      <c r="H91" t="s">
        <v>246</v>
      </c>
      <c r="I91" t="str">
        <f t="shared" si="9"/>
        <v>H&amp;M</v>
      </c>
      <c r="J91" t="str">
        <f t="shared" si="12"/>
        <v>CostaneraCenter</v>
      </c>
      <c r="K91" t="str">
        <f t="shared" si="13"/>
        <v>Debito</v>
      </c>
      <c r="L91" t="str" cm="1">
        <f t="array" ref="L91">_xlfn.IFS(J91="AltoLasCondes","MallAltoLasCondes",J91="MallPlazaEgaña","MallPlazaEgana",J91="CencoMallCostanera","CostaneraCenter", TRUE,J91)</f>
        <v>CostaneraCenter</v>
      </c>
      <c r="M91" t="str">
        <f t="shared" si="10"/>
        <v>Debito</v>
      </c>
    </row>
    <row r="92" spans="1:14" x14ac:dyDescent="0.2">
      <c r="A92" t="s">
        <v>162</v>
      </c>
      <c r="B92" t="str" cm="1">
        <f t="array" ref="B92:C92">_xlfn.TEXTSPLIT(A92,"_")</f>
        <v>Elaina</v>
      </c>
      <c r="C92" t="str">
        <v>Giles</v>
      </c>
      <c r="D92" t="s">
        <v>78</v>
      </c>
      <c r="E92" t="s">
        <v>8</v>
      </c>
      <c r="F92" t="s">
        <v>92</v>
      </c>
      <c r="G92" t="s">
        <v>152</v>
      </c>
      <c r="H92" t="s">
        <v>247</v>
      </c>
      <c r="I92" t="str">
        <f t="shared" si="9"/>
        <v>SantaIsabel</v>
      </c>
      <c r="J92" t="str">
        <f t="shared" si="12"/>
        <v>MallPlazaVespucio</v>
      </c>
      <c r="K92" t="str">
        <f t="shared" si="13"/>
        <v>Efectivo</v>
      </c>
      <c r="L92" t="str" cm="1">
        <f t="array" ref="L92">_xlfn.IFS(J92="AltoLasCondes","MallAltoLasCondes",J92="MallPlazaEgaña","MallPlazaEgana",J92="CencoMallCostanera","CostaneraCenter", TRUE,J92)</f>
        <v>MallPlazaVespucio</v>
      </c>
      <c r="M92" t="str">
        <f t="shared" si="10"/>
        <v>Efectivo</v>
      </c>
    </row>
    <row r="93" spans="1:14" x14ac:dyDescent="0.2">
      <c r="A93" t="s">
        <v>105</v>
      </c>
      <c r="B93" t="str" cm="1">
        <f t="array" ref="B93:C93">_xlfn.TEXTSPLIT(A93,"_")</f>
        <v>Camila</v>
      </c>
      <c r="C93" t="str">
        <v>Errázuriz</v>
      </c>
      <c r="D93" t="s">
        <v>190</v>
      </c>
      <c r="E93" t="s">
        <v>121</v>
      </c>
      <c r="F93" t="s">
        <v>130</v>
      </c>
      <c r="G93" t="s">
        <v>248</v>
      </c>
      <c r="H93" t="s">
        <v>249</v>
      </c>
      <c r="I93" t="str">
        <f t="shared" si="9"/>
        <v>SantaIsabel</v>
      </c>
      <c r="J93" t="str">
        <f t="shared" si="12"/>
        <v>CostaneraCenter</v>
      </c>
      <c r="K93" t="str">
        <f t="shared" si="13"/>
        <v>MasterCard</v>
      </c>
      <c r="L93" t="str" cm="1">
        <f t="array" ref="L93">_xlfn.IFS(J93="AltoLasCondes","MallAltoLasCondes",J93="MallPlazaEgaña","MallPlazaEgana",J93="CencoMallCostanera","CostaneraCenter", TRUE,J93)</f>
        <v>CostaneraCenter</v>
      </c>
      <c r="M93" t="str">
        <f t="shared" si="10"/>
        <v>MasterCard</v>
      </c>
    </row>
    <row r="94" spans="1:14" x14ac:dyDescent="0.2">
      <c r="A94" t="s">
        <v>24</v>
      </c>
      <c r="B94" t="str" cm="1">
        <f t="array" ref="B94:C94">_xlfn.TEXTSPLIT(A94,"_")</f>
        <v>Dante</v>
      </c>
      <c r="C94" t="str">
        <v>Morrow</v>
      </c>
      <c r="D94" t="s">
        <v>78</v>
      </c>
      <c r="E94" t="s">
        <v>126</v>
      </c>
      <c r="F94" t="s">
        <v>115</v>
      </c>
      <c r="G94" t="s">
        <v>64</v>
      </c>
      <c r="H94" t="s">
        <v>250</v>
      </c>
      <c r="I94" t="str">
        <f t="shared" si="9"/>
        <v>SantaIsabel</v>
      </c>
      <c r="J94" t="str">
        <f t="shared" si="12"/>
        <v>MallAltoLasCondes</v>
      </c>
      <c r="K94" t="str">
        <f t="shared" si="13"/>
        <v>Visa</v>
      </c>
      <c r="L94" t="str" cm="1">
        <f t="array" ref="L94">_xlfn.IFS(J94="AltoLasCondes","MallAltoLasCondes",J94="MallPlazaEgaña","MallPlazaEgana",J94="CencoMallCostanera","CostaneraCenter", TRUE,J94)</f>
        <v>MallAltoLasCondes</v>
      </c>
      <c r="M94" t="str">
        <f t="shared" si="10"/>
        <v>Visa</v>
      </c>
    </row>
    <row r="95" spans="1:14" x14ac:dyDescent="0.2">
      <c r="A95" t="s">
        <v>243</v>
      </c>
      <c r="B95" t="str" cm="1">
        <f t="array" ref="B95:C95">_xlfn.TEXTSPLIT(A95,"_")</f>
        <v>Valentina</v>
      </c>
      <c r="C95" t="str">
        <v>Soto</v>
      </c>
      <c r="D95" t="s">
        <v>78</v>
      </c>
      <c r="E95" t="s">
        <v>8</v>
      </c>
      <c r="F95" t="s">
        <v>52</v>
      </c>
      <c r="G95" t="s">
        <v>173</v>
      </c>
      <c r="H95" t="s">
        <v>251</v>
      </c>
      <c r="I95" t="str">
        <f t="shared" si="9"/>
        <v>SantaIsabel</v>
      </c>
      <c r="J95" t="str">
        <f t="shared" si="12"/>
        <v>MallPlazaVespucio</v>
      </c>
      <c r="K95" t="str">
        <f t="shared" si="13"/>
        <v>Visa</v>
      </c>
      <c r="L95" t="str" cm="1">
        <f t="array" ref="L95">_xlfn.IFS(J95="AltoLasCondes","MallAltoLasCondes",J95="MallPlazaEgaña","MallPlazaEgana",J95="CencoMallCostanera","CostaneraCenter", TRUE,J95)</f>
        <v>MallPlazaVespucio</v>
      </c>
      <c r="M95" t="str">
        <f t="shared" si="10"/>
        <v>Visa</v>
      </c>
    </row>
    <row r="96" spans="1:14" x14ac:dyDescent="0.2">
      <c r="A96" t="s">
        <v>29</v>
      </c>
      <c r="B96" t="str" cm="1">
        <f t="array" ref="B96:C96">_xlfn.TEXTSPLIT(A96,"_")</f>
        <v>Lucas</v>
      </c>
      <c r="C96" t="str">
        <v>Echeverría</v>
      </c>
      <c r="D96" t="s">
        <v>165</v>
      </c>
      <c r="E96" t="s">
        <v>86</v>
      </c>
      <c r="F96" t="s">
        <v>36</v>
      </c>
      <c r="G96" t="s">
        <v>252</v>
      </c>
      <c r="H96" t="s">
        <v>253</v>
      </c>
      <c r="I96" t="str">
        <f t="shared" si="9"/>
        <v>Sta.Isabel</v>
      </c>
      <c r="J96" t="str">
        <f t="shared" si="12"/>
        <v>CencoMallCostanera</v>
      </c>
      <c r="K96" t="str">
        <f t="shared" si="13"/>
        <v>MasterCard</v>
      </c>
      <c r="L96" t="str" cm="1">
        <f t="array" ref="L96">_xlfn.IFS(J96="AltoLasCondes","MallAltoLasCondes",J96="MallPlazaEgaña","MallPlazaEgana",J96="CencoMallCostanera","CostaneraCenter", TRUE,J96)</f>
        <v>CostaneraCenter</v>
      </c>
      <c r="M96" t="str">
        <f t="shared" si="10"/>
        <v>MasterCard</v>
      </c>
    </row>
    <row r="97" spans="1:14" x14ac:dyDescent="0.2">
      <c r="A97" t="s">
        <v>124</v>
      </c>
      <c r="B97" t="str" cm="1">
        <f t="array" ref="B97:C97">_xlfn.TEXTSPLIT(A97,"_")</f>
        <v>Ignacio</v>
      </c>
      <c r="C97" t="str">
        <v>Reyes</v>
      </c>
      <c r="D97" t="s">
        <v>50</v>
      </c>
      <c r="E97" t="s">
        <v>126</v>
      </c>
      <c r="F97" t="s">
        <v>147</v>
      </c>
      <c r="G97" t="s">
        <v>16</v>
      </c>
      <c r="H97" t="s">
        <v>254</v>
      </c>
      <c r="I97" t="str">
        <f t="shared" si="9"/>
        <v>Easy</v>
      </c>
      <c r="J97" t="str">
        <f t="shared" si="12"/>
        <v>MallAltoLasCondes</v>
      </c>
      <c r="K97" t="str">
        <f t="shared" si="13"/>
        <v>Americanexpress</v>
      </c>
      <c r="L97" t="str" cm="1">
        <f t="array" ref="L97">_xlfn.IFS(J97="AltoLasCondes","MallAltoLasCondes",J97="MallPlazaEgaña","MallPlazaEgana",J97="CencoMallCostanera","CostaneraCenter", TRUE,J97)</f>
        <v>MallAltoLasCondes</v>
      </c>
      <c r="M97" t="str">
        <f t="shared" si="10"/>
        <v>Americanexpress</v>
      </c>
    </row>
    <row r="98" spans="1:14" x14ac:dyDescent="0.2">
      <c r="A98" t="s">
        <v>41</v>
      </c>
      <c r="B98" t="str" cm="1">
        <f t="array" ref="B98:C98">_xlfn.TEXTSPLIT(A98,"_")</f>
        <v>Isidora</v>
      </c>
      <c r="C98" t="str">
        <v>Pinto</v>
      </c>
      <c r="D98" t="s">
        <v>125</v>
      </c>
      <c r="E98" t="s">
        <v>14</v>
      </c>
      <c r="F98" t="s">
        <v>36</v>
      </c>
      <c r="G98" t="s">
        <v>255</v>
      </c>
      <c r="H98" t="s">
        <v>256</v>
      </c>
      <c r="I98" t="str">
        <f t="shared" si="9"/>
        <v>Ripley</v>
      </c>
      <c r="J98" t="str">
        <f t="shared" si="12"/>
        <v>MallPlazaEgaña</v>
      </c>
      <c r="K98" t="str">
        <f t="shared" si="13"/>
        <v>MasterCard</v>
      </c>
      <c r="L98" t="str" cm="1">
        <f t="array" ref="L98">_xlfn.IFS(J98="AltoLasCondes","MallAltoLasCondes",J98="MallPlazaEgaña","MallPlazaEgana",J98="CencoMallCostanera","CostaneraCenter", TRUE,J98)</f>
        <v>MallPlazaEgana</v>
      </c>
      <c r="M98" t="str">
        <f t="shared" si="10"/>
        <v>MasterCard</v>
      </c>
    </row>
    <row r="99" spans="1:14" x14ac:dyDescent="0.2">
      <c r="A99" t="s">
        <v>41</v>
      </c>
      <c r="B99" t="str" cm="1">
        <f t="array" ref="B99:C99">_xlfn.TEXTSPLIT(A99,"_")</f>
        <v>Isidora</v>
      </c>
      <c r="C99" t="str">
        <v>Pinto</v>
      </c>
      <c r="D99" t="s">
        <v>129</v>
      </c>
      <c r="E99" t="s">
        <v>121</v>
      </c>
      <c r="F99" t="s">
        <v>9</v>
      </c>
      <c r="G99" t="s">
        <v>220</v>
      </c>
      <c r="H99" t="s">
        <v>257</v>
      </c>
      <c r="I99" t="str">
        <f t="shared" si="9"/>
        <v>SantaIsabel</v>
      </c>
      <c r="J99" t="str">
        <f t="shared" si="12"/>
        <v>CostaneraCenter</v>
      </c>
      <c r="K99" t="str">
        <f t="shared" si="13"/>
        <v>Efectivo</v>
      </c>
      <c r="L99" t="str" cm="1">
        <f t="array" ref="L99">_xlfn.IFS(J99="AltoLasCondes","MallAltoLasCondes",J99="MallPlazaEgaña","MallPlazaEgana",J99="CencoMallCostanera","CostaneraCenter", TRUE,J99)</f>
        <v>CostaneraCenter</v>
      </c>
      <c r="M99" t="str">
        <f t="shared" si="10"/>
        <v>Efectivo</v>
      </c>
    </row>
    <row r="100" spans="1:14" x14ac:dyDescent="0.2">
      <c r="A100" t="s">
        <v>100</v>
      </c>
      <c r="B100" t="str" cm="1">
        <f t="array" ref="B100:C100">_xlfn.TEXTSPLIT(A100,"_")</f>
        <v>Beckett</v>
      </c>
      <c r="C100" t="str">
        <v>Chase</v>
      </c>
      <c r="D100" t="s">
        <v>78</v>
      </c>
      <c r="E100" t="s">
        <v>14</v>
      </c>
      <c r="F100" t="s">
        <v>130</v>
      </c>
      <c r="G100" t="s">
        <v>258</v>
      </c>
      <c r="H100" t="s">
        <v>259</v>
      </c>
      <c r="I100" t="str">
        <f t="shared" si="9"/>
        <v>SantaIsabel</v>
      </c>
      <c r="J100" t="str">
        <f t="shared" si="12"/>
        <v>MallPlazaEgaña</v>
      </c>
      <c r="K100" t="str">
        <f t="shared" si="13"/>
        <v>MasterCard</v>
      </c>
      <c r="L100" t="str" cm="1">
        <f t="array" ref="L100">_xlfn.IFS(J100="AltoLasCondes","MallAltoLasCondes",J100="MallPlazaEgaña","MallPlazaEgana",J100="CencoMallCostanera","CostaneraCenter", TRUE,J100)</f>
        <v>MallPlazaEgana</v>
      </c>
      <c r="M100" t="str">
        <f t="shared" si="10"/>
        <v>MasterCard</v>
      </c>
      <c r="N100" t="str">
        <f t="shared" ref="N100:N101" si="15">LEFT(H100,3)</f>
        <v>RET</v>
      </c>
    </row>
    <row r="101" spans="1:14" x14ac:dyDescent="0.2">
      <c r="A101" t="s">
        <v>159</v>
      </c>
      <c r="B101" t="str" cm="1">
        <f t="array" ref="B101:C101">_xlfn.TEXTSPLIT(A101,"_")</f>
        <v>Tomás</v>
      </c>
      <c r="C101" t="str">
        <v>Guzmán</v>
      </c>
      <c r="D101" t="s">
        <v>35</v>
      </c>
      <c r="E101" t="s">
        <v>67</v>
      </c>
      <c r="F101" t="s">
        <v>9</v>
      </c>
      <c r="G101" t="s">
        <v>142</v>
      </c>
      <c r="H101" t="s">
        <v>260</v>
      </c>
      <c r="I101" t="str">
        <f t="shared" si="9"/>
        <v>Easy</v>
      </c>
      <c r="J101" t="str">
        <f t="shared" si="12"/>
        <v>CencoMallCostanera</v>
      </c>
      <c r="K101" t="str">
        <f t="shared" si="13"/>
        <v>Efectivo</v>
      </c>
      <c r="L101" t="str" cm="1">
        <f t="array" ref="L101">_xlfn.IFS(J101="AltoLasCondes","MallAltoLasCondes",J101="MallPlazaEgaña","MallPlazaEgana",J101="CencoMallCostanera","CostaneraCenter", TRUE,J101)</f>
        <v>CostaneraCenter</v>
      </c>
      <c r="M101" t="str">
        <f t="shared" si="10"/>
        <v>Efectivo</v>
      </c>
      <c r="N101" t="str">
        <f t="shared" si="15"/>
        <v>AUX</v>
      </c>
    </row>
    <row r="102" spans="1:14" x14ac:dyDescent="0.2">
      <c r="A102" t="s">
        <v>95</v>
      </c>
      <c r="B102" t="str" cm="1">
        <f t="array" ref="B102:C102">_xlfn.TEXTSPLIT(A102,"_")</f>
        <v>Javiera</v>
      </c>
      <c r="C102" t="str">
        <v>Lorca</v>
      </c>
      <c r="D102" t="s">
        <v>167</v>
      </c>
      <c r="E102" t="s">
        <v>216</v>
      </c>
      <c r="F102" t="s">
        <v>156</v>
      </c>
      <c r="G102" t="s">
        <v>255</v>
      </c>
      <c r="H102" t="s">
        <v>261</v>
      </c>
      <c r="I102" t="str">
        <f t="shared" si="9"/>
        <v>Jumbo</v>
      </c>
      <c r="J102" t="str">
        <f t="shared" si="12"/>
        <v>MallPlazaEgana</v>
      </c>
      <c r="K102" t="str">
        <f t="shared" si="13"/>
        <v>Débito</v>
      </c>
      <c r="L102" t="str" cm="1">
        <f t="array" ref="L102">_xlfn.IFS(J102="AltoLasCondes","MallAltoLasCondes",J102="MallPlazaEgaña","MallPlazaEgana",J102="CencoMallCostanera","CostaneraCenter", TRUE,J102)</f>
        <v>MallPlazaEgana</v>
      </c>
      <c r="M102" t="str">
        <f t="shared" si="10"/>
        <v>Debito</v>
      </c>
    </row>
    <row r="103" spans="1:14" x14ac:dyDescent="0.2">
      <c r="A103" t="s">
        <v>162</v>
      </c>
      <c r="B103" t="str" cm="1">
        <f t="array" ref="B103:C103">_xlfn.TEXTSPLIT(A103,"_")</f>
        <v>Elaina</v>
      </c>
      <c r="C103" t="str">
        <v>Giles</v>
      </c>
      <c r="D103" t="s">
        <v>90</v>
      </c>
      <c r="E103" t="s">
        <v>14</v>
      </c>
      <c r="F103" t="s">
        <v>134</v>
      </c>
      <c r="G103" t="s">
        <v>154</v>
      </c>
      <c r="H103" t="s">
        <v>262</v>
      </c>
      <c r="I103" t="str">
        <f t="shared" si="9"/>
        <v>Paris</v>
      </c>
      <c r="J103" t="str">
        <f t="shared" si="12"/>
        <v>MallPlazaEgaña</v>
      </c>
      <c r="K103" t="str">
        <f t="shared" si="13"/>
        <v>AmericanExpress</v>
      </c>
      <c r="L103" t="str" cm="1">
        <f t="array" ref="L103">_xlfn.IFS(J103="AltoLasCondes","MallAltoLasCondes",J103="MallPlazaEgaña","MallPlazaEgana",J103="CencoMallCostanera","CostaneraCenter", TRUE,J103)</f>
        <v>MallPlazaEgana</v>
      </c>
      <c r="M103" t="str">
        <f t="shared" si="10"/>
        <v>AmericanExpress</v>
      </c>
    </row>
    <row r="104" spans="1:14" x14ac:dyDescent="0.2">
      <c r="A104" t="s">
        <v>18</v>
      </c>
      <c r="B104" t="str" cm="1">
        <f t="array" ref="B104:C104">_xlfn.TEXTSPLIT(A104,"_")</f>
        <v>Xander</v>
      </c>
      <c r="C104" t="str">
        <v>Knight</v>
      </c>
      <c r="D104" t="s">
        <v>90</v>
      </c>
      <c r="E104" t="s">
        <v>42</v>
      </c>
      <c r="F104" t="s">
        <v>9</v>
      </c>
      <c r="G104" t="s">
        <v>177</v>
      </c>
      <c r="H104" t="s">
        <v>263</v>
      </c>
      <c r="I104" t="str">
        <f t="shared" si="9"/>
        <v>Paris</v>
      </c>
      <c r="J104" t="str">
        <f t="shared" si="12"/>
        <v>AltoLasCondes</v>
      </c>
      <c r="K104" t="str">
        <f t="shared" si="13"/>
        <v>Efectivo</v>
      </c>
      <c r="L104" t="str" cm="1">
        <f t="array" ref="L104">_xlfn.IFS(J104="AltoLasCondes","MallAltoLasCondes",J104="MallPlazaEgaña","MallPlazaEgana",J104="CencoMallCostanera","CostaneraCenter", TRUE,J104)</f>
        <v>MallAltoLasCondes</v>
      </c>
      <c r="M104" t="str">
        <f t="shared" si="10"/>
        <v>Efectivo</v>
      </c>
    </row>
    <row r="105" spans="1:14" x14ac:dyDescent="0.2">
      <c r="A105" t="s">
        <v>215</v>
      </c>
      <c r="B105" t="str" cm="1">
        <f t="array" ref="B105:C105">_xlfn.TEXTSPLIT(A105,"_")</f>
        <v>Cole</v>
      </c>
      <c r="C105" t="str">
        <v>Bray</v>
      </c>
      <c r="D105" t="s">
        <v>165</v>
      </c>
      <c r="E105" t="s">
        <v>31</v>
      </c>
      <c r="F105" t="s">
        <v>26</v>
      </c>
      <c r="G105" t="s">
        <v>264</v>
      </c>
      <c r="H105" t="s">
        <v>265</v>
      </c>
      <c r="I105" t="str">
        <f t="shared" si="9"/>
        <v>Sta.Isabel</v>
      </c>
      <c r="J105" t="str">
        <f t="shared" si="12"/>
        <v>ParqueArauco</v>
      </c>
      <c r="K105" t="str">
        <f t="shared" si="13"/>
        <v>AmericanExpress</v>
      </c>
      <c r="L105" t="str" cm="1">
        <f t="array" ref="L105">_xlfn.IFS(J105="AltoLasCondes","MallAltoLasCondes",J105="MallPlazaEgaña","MallPlazaEgana",J105="CencoMallCostanera","CostaneraCenter", TRUE,J105)</f>
        <v>ParqueArauco</v>
      </c>
      <c r="M105" t="str">
        <f t="shared" si="10"/>
        <v>AmericanExpress</v>
      </c>
    </row>
    <row r="106" spans="1:14" x14ac:dyDescent="0.2">
      <c r="A106" t="s">
        <v>95</v>
      </c>
      <c r="B106" t="str" cm="1">
        <f t="array" ref="B106:C106">_xlfn.TEXTSPLIT(A106,"_")</f>
        <v>Javiera</v>
      </c>
      <c r="C106" t="str">
        <v>Lorca</v>
      </c>
      <c r="D106" t="s">
        <v>71</v>
      </c>
      <c r="E106" t="s">
        <v>67</v>
      </c>
      <c r="F106" t="s">
        <v>21</v>
      </c>
      <c r="G106" t="s">
        <v>122</v>
      </c>
      <c r="H106" t="s">
        <v>266</v>
      </c>
      <c r="I106" t="str">
        <f t="shared" si="9"/>
        <v>Jumbo</v>
      </c>
      <c r="J106" t="str">
        <f t="shared" si="12"/>
        <v>CencoMallCostanera</v>
      </c>
      <c r="K106" t="str">
        <f t="shared" si="13"/>
        <v>Visa</v>
      </c>
      <c r="L106" t="str" cm="1">
        <f t="array" ref="L106">_xlfn.IFS(J106="AltoLasCondes","MallAltoLasCondes",J106="MallPlazaEgaña","MallPlazaEgana",J106="CencoMallCostanera","CostaneraCenter", TRUE,J106)</f>
        <v>CostaneraCenter</v>
      </c>
      <c r="M106" t="str">
        <f t="shared" si="10"/>
        <v>Visa</v>
      </c>
    </row>
    <row r="107" spans="1:14" x14ac:dyDescent="0.2">
      <c r="A107" t="s">
        <v>98</v>
      </c>
      <c r="B107" t="str" cm="1">
        <f t="array" ref="B107:C107">_xlfn.TEXTSPLIT(A107,"_")</f>
        <v>Sienna</v>
      </c>
      <c r="C107" t="str">
        <v>Frost</v>
      </c>
      <c r="D107" t="s">
        <v>125</v>
      </c>
      <c r="E107" t="s">
        <v>42</v>
      </c>
      <c r="F107" t="s">
        <v>21</v>
      </c>
      <c r="G107" t="s">
        <v>148</v>
      </c>
      <c r="H107" t="s">
        <v>267</v>
      </c>
      <c r="I107" t="str">
        <f t="shared" si="9"/>
        <v>Ripley</v>
      </c>
      <c r="J107" t="str">
        <f t="shared" si="12"/>
        <v>AltoLasCondes</v>
      </c>
      <c r="K107" t="str">
        <f t="shared" si="13"/>
        <v>Visa</v>
      </c>
      <c r="L107" t="str" cm="1">
        <f t="array" ref="L107">_xlfn.IFS(J107="AltoLasCondes","MallAltoLasCondes",J107="MallPlazaEgaña","MallPlazaEgana",J107="CencoMallCostanera","CostaneraCenter", TRUE,J107)</f>
        <v>MallAltoLasCondes</v>
      </c>
      <c r="M107" t="str">
        <f t="shared" si="10"/>
        <v>Visa</v>
      </c>
    </row>
    <row r="108" spans="1:14" x14ac:dyDescent="0.2">
      <c r="A108" t="s">
        <v>114</v>
      </c>
      <c r="B108" t="str" cm="1">
        <f t="array" ref="B108:C108">_xlfn.TEXTSPLIT(A108,"_")</f>
        <v>Joaquín</v>
      </c>
      <c r="C108" t="str">
        <v>Zañartu</v>
      </c>
      <c r="D108" t="s">
        <v>13</v>
      </c>
      <c r="E108" t="s">
        <v>31</v>
      </c>
      <c r="F108" t="s">
        <v>244</v>
      </c>
      <c r="G108" t="s">
        <v>268</v>
      </c>
      <c r="H108" t="s">
        <v>269</v>
      </c>
      <c r="I108" t="str">
        <f t="shared" si="9"/>
        <v>Falabella</v>
      </c>
      <c r="J108" t="str">
        <f t="shared" si="12"/>
        <v>ParqueArauco</v>
      </c>
      <c r="K108" t="str">
        <f t="shared" si="13"/>
        <v>Debito</v>
      </c>
      <c r="L108" t="str" cm="1">
        <f t="array" ref="L108">_xlfn.IFS(J108="AltoLasCondes","MallAltoLasCondes",J108="MallPlazaEgaña","MallPlazaEgana",J108="CencoMallCostanera","CostaneraCenter", TRUE,J108)</f>
        <v>ParqueArauco</v>
      </c>
      <c r="M108" t="str">
        <f t="shared" si="10"/>
        <v>Debito</v>
      </c>
    </row>
    <row r="109" spans="1:14" x14ac:dyDescent="0.2">
      <c r="A109" t="s">
        <v>215</v>
      </c>
      <c r="B109" t="str" cm="1">
        <f t="array" ref="B109:C109">_xlfn.TEXTSPLIT(A109,"_")</f>
        <v>Cole</v>
      </c>
      <c r="C109" t="str">
        <v>Bray</v>
      </c>
      <c r="D109" t="s">
        <v>90</v>
      </c>
      <c r="E109" t="s">
        <v>79</v>
      </c>
      <c r="F109" t="s">
        <v>26</v>
      </c>
      <c r="G109" t="s">
        <v>195</v>
      </c>
      <c r="H109" t="s">
        <v>270</v>
      </c>
      <c r="I109" t="str">
        <f t="shared" si="9"/>
        <v>Paris</v>
      </c>
      <c r="J109" t="str">
        <f t="shared" si="12"/>
        <v>ParqueArauco</v>
      </c>
      <c r="K109" t="str">
        <f t="shared" si="13"/>
        <v>AmericanExpress</v>
      </c>
      <c r="L109" t="str" cm="1">
        <f t="array" ref="L109">_xlfn.IFS(J109="AltoLasCondes","MallAltoLasCondes",J109="MallPlazaEgaña","MallPlazaEgana",J109="CencoMallCostanera","CostaneraCenter", TRUE,J109)</f>
        <v>ParqueArauco</v>
      </c>
      <c r="M109" t="str">
        <f t="shared" si="10"/>
        <v>AmericanExpress</v>
      </c>
    </row>
    <row r="110" spans="1:14" x14ac:dyDescent="0.2">
      <c r="A110" t="s">
        <v>159</v>
      </c>
      <c r="B110" t="str" cm="1">
        <f t="array" ref="B110:C110">_xlfn.TEXTSPLIT(A110,"_")</f>
        <v>Tomás</v>
      </c>
      <c r="C110" t="str">
        <v>Guzmán</v>
      </c>
      <c r="D110" t="s">
        <v>13</v>
      </c>
      <c r="E110" t="s">
        <v>42</v>
      </c>
      <c r="F110" t="s">
        <v>60</v>
      </c>
      <c r="G110" t="s">
        <v>220</v>
      </c>
      <c r="H110" t="s">
        <v>271</v>
      </c>
      <c r="I110" t="str">
        <f t="shared" si="9"/>
        <v>Falabella</v>
      </c>
      <c r="J110" t="str">
        <f t="shared" si="12"/>
        <v>AltoLasCondes</v>
      </c>
      <c r="K110" t="str">
        <f t="shared" si="13"/>
        <v>Debito</v>
      </c>
      <c r="L110" t="str" cm="1">
        <f t="array" ref="L110">_xlfn.IFS(J110="AltoLasCondes","MallAltoLasCondes",J110="MallPlazaEgaña","MallPlazaEgana",J110="CencoMallCostanera","CostaneraCenter", TRUE,J110)</f>
        <v>MallAltoLasCondes</v>
      </c>
      <c r="M110" t="str">
        <f t="shared" si="10"/>
        <v>Debito</v>
      </c>
    </row>
    <row r="111" spans="1:14" x14ac:dyDescent="0.2">
      <c r="A111" t="s">
        <v>70</v>
      </c>
      <c r="B111" t="str" cm="1">
        <f t="array" ref="B111:C111">_xlfn.TEXTSPLIT(A111,"_")</f>
        <v>Liora</v>
      </c>
      <c r="C111" t="str">
        <v>Pace</v>
      </c>
      <c r="D111" t="s">
        <v>197</v>
      </c>
      <c r="E111" t="s">
        <v>59</v>
      </c>
      <c r="F111" t="s">
        <v>26</v>
      </c>
      <c r="G111" t="s">
        <v>272</v>
      </c>
      <c r="H111" t="s">
        <v>273</v>
      </c>
      <c r="I111" t="str">
        <f t="shared" si="9"/>
        <v>Ripley</v>
      </c>
      <c r="J111" t="str">
        <f t="shared" si="12"/>
        <v>AltoLasCondes</v>
      </c>
      <c r="K111" t="str">
        <f t="shared" si="13"/>
        <v>AmericanExpress</v>
      </c>
      <c r="L111" t="str" cm="1">
        <f t="array" ref="L111">_xlfn.IFS(J111="AltoLasCondes","MallAltoLasCondes",J111="MallPlazaEgaña","MallPlazaEgana",J111="CencoMallCostanera","CostaneraCenter", TRUE,J111)</f>
        <v>MallAltoLasCondes</v>
      </c>
      <c r="M111" t="str">
        <f t="shared" si="10"/>
        <v>AmericanExpress</v>
      </c>
    </row>
    <row r="112" spans="1:14" x14ac:dyDescent="0.2">
      <c r="A112" t="s">
        <v>140</v>
      </c>
      <c r="B112" t="str" cm="1">
        <f t="array" ref="B112:C112">_xlfn.TEXTSPLIT(A112,"_")</f>
        <v>Benjamín</v>
      </c>
      <c r="C112" t="str">
        <v>Vargas</v>
      </c>
      <c r="D112" t="s">
        <v>13</v>
      </c>
      <c r="E112" t="s">
        <v>79</v>
      </c>
      <c r="F112" t="s">
        <v>43</v>
      </c>
      <c r="G112" t="s">
        <v>37</v>
      </c>
      <c r="H112" t="s">
        <v>274</v>
      </c>
      <c r="I112" t="str">
        <f t="shared" si="9"/>
        <v>Falabella</v>
      </c>
      <c r="J112" t="str">
        <f t="shared" si="12"/>
        <v>ParqueArauco</v>
      </c>
      <c r="K112" t="str">
        <f t="shared" si="13"/>
        <v>Mastercard</v>
      </c>
      <c r="L112" t="str" cm="1">
        <f t="array" ref="L112">_xlfn.IFS(J112="AltoLasCondes","MallAltoLasCondes",J112="MallPlazaEgaña","MallPlazaEgana",J112="CencoMallCostanera","CostaneraCenter", TRUE,J112)</f>
        <v>ParqueArauco</v>
      </c>
      <c r="M112" t="str">
        <f t="shared" si="10"/>
        <v>Mastercard</v>
      </c>
    </row>
    <row r="113" spans="1:14" x14ac:dyDescent="0.2">
      <c r="A113" t="s">
        <v>98</v>
      </c>
      <c r="B113" t="str" cm="1">
        <f t="array" ref="B113:C113">_xlfn.TEXTSPLIT(A113,"_")</f>
        <v>Sienna</v>
      </c>
      <c r="C113" t="str">
        <v>Frost</v>
      </c>
      <c r="D113" t="s">
        <v>19</v>
      </c>
      <c r="E113" t="s">
        <v>14</v>
      </c>
      <c r="F113" t="s">
        <v>36</v>
      </c>
      <c r="G113" t="s">
        <v>207</v>
      </c>
      <c r="H113" t="s">
        <v>275</v>
      </c>
      <c r="I113" t="str">
        <f t="shared" si="9"/>
        <v>Falabella</v>
      </c>
      <c r="J113" t="str">
        <f t="shared" si="12"/>
        <v>MallPlazaEgaña</v>
      </c>
      <c r="K113" t="str">
        <f t="shared" si="13"/>
        <v>MasterCard</v>
      </c>
      <c r="L113" t="str" cm="1">
        <f t="array" ref="L113">_xlfn.IFS(J113="AltoLasCondes","MallAltoLasCondes",J113="MallPlazaEgaña","MallPlazaEgana",J113="CencoMallCostanera","CostaneraCenter", TRUE,J113)</f>
        <v>MallPlazaEgana</v>
      </c>
      <c r="M113" t="str">
        <f t="shared" si="10"/>
        <v>MasterCard</v>
      </c>
    </row>
    <row r="114" spans="1:14" x14ac:dyDescent="0.2">
      <c r="A114" t="s">
        <v>66</v>
      </c>
      <c r="B114" t="str" cm="1">
        <f t="array" ref="B114:C114">_xlfn.TEXTSPLIT(A114,"_")</f>
        <v>Priscilia</v>
      </c>
      <c r="C114" t="str">
        <v>Welch</v>
      </c>
      <c r="D114" t="s">
        <v>30</v>
      </c>
      <c r="E114" t="s">
        <v>42</v>
      </c>
      <c r="F114" t="s">
        <v>92</v>
      </c>
      <c r="G114" t="s">
        <v>226</v>
      </c>
      <c r="H114" t="s">
        <v>276</v>
      </c>
      <c r="I114" t="str">
        <f t="shared" si="9"/>
        <v>Jumbo</v>
      </c>
      <c r="J114" t="str">
        <f t="shared" si="12"/>
        <v>AltoLasCondes</v>
      </c>
      <c r="K114" t="str">
        <f t="shared" si="13"/>
        <v>Efectivo</v>
      </c>
      <c r="L114" t="str" cm="1">
        <f t="array" ref="L114">_xlfn.IFS(J114="AltoLasCondes","MallAltoLasCondes",J114="MallPlazaEgaña","MallPlazaEgana",J114="CencoMallCostanera","CostaneraCenter", TRUE,J114)</f>
        <v>MallAltoLasCondes</v>
      </c>
      <c r="M114" t="str">
        <f t="shared" si="10"/>
        <v>Efectivo</v>
      </c>
      <c r="N114" t="str">
        <f t="shared" ref="N114:N115" si="16">LEFT(H114,3)</f>
        <v>AUX</v>
      </c>
    </row>
    <row r="115" spans="1:14" x14ac:dyDescent="0.2">
      <c r="A115" t="s">
        <v>206</v>
      </c>
      <c r="B115" t="str" cm="1">
        <f t="array" ref="B115:C115">_xlfn.TEXTSPLIT(A115,"_")</f>
        <v>Mateo</v>
      </c>
      <c r="C115" t="str">
        <v>Fuenzalida</v>
      </c>
      <c r="D115" t="s">
        <v>90</v>
      </c>
      <c r="E115" t="s">
        <v>25</v>
      </c>
      <c r="F115" t="s">
        <v>156</v>
      </c>
      <c r="G115" t="s">
        <v>277</v>
      </c>
      <c r="H115" t="s">
        <v>278</v>
      </c>
      <c r="I115" t="str">
        <f t="shared" si="9"/>
        <v>Paris</v>
      </c>
      <c r="J115" t="str">
        <f t="shared" si="12"/>
        <v>MallParqueArauco</v>
      </c>
      <c r="K115" t="str">
        <f t="shared" si="13"/>
        <v>Débito</v>
      </c>
      <c r="L115" t="str" cm="1">
        <f t="array" ref="L115">_xlfn.IFS(J115="AltoLasCondes","MallAltoLasCondes",J115="MallPlazaEgaña","MallPlazaEgana",J115="CencoMallCostanera","CostaneraCenter", TRUE,J115)</f>
        <v>MallParqueArauco</v>
      </c>
      <c r="M115" t="str">
        <f t="shared" si="10"/>
        <v>Debito</v>
      </c>
      <c r="N115" t="str">
        <f t="shared" si="16"/>
        <v>AUX</v>
      </c>
    </row>
    <row r="116" spans="1:14" x14ac:dyDescent="0.2">
      <c r="A116" t="s">
        <v>34</v>
      </c>
      <c r="B116" t="str" cm="1">
        <f t="array" ref="B116:C116">_xlfn.TEXTSPLIT(A116,"_")</f>
        <v>Thaddeus</v>
      </c>
      <c r="C116" t="str">
        <v>Vance</v>
      </c>
      <c r="D116" t="s">
        <v>129</v>
      </c>
      <c r="E116" t="s">
        <v>121</v>
      </c>
      <c r="F116" t="s">
        <v>87</v>
      </c>
      <c r="G116" t="s">
        <v>279</v>
      </c>
      <c r="H116" t="s">
        <v>280</v>
      </c>
      <c r="I116" t="str">
        <f t="shared" si="9"/>
        <v>SantaIsabel</v>
      </c>
      <c r="J116" t="str">
        <f t="shared" si="12"/>
        <v>CostaneraCenter</v>
      </c>
      <c r="K116" t="str">
        <f t="shared" si="13"/>
        <v>Visa</v>
      </c>
      <c r="L116" t="str" cm="1">
        <f t="array" ref="L116">_xlfn.IFS(J116="AltoLasCondes","MallAltoLasCondes",J116="MallPlazaEgaña","MallPlazaEgana",J116="CencoMallCostanera","CostaneraCenter", TRUE,J116)</f>
        <v>CostaneraCenter</v>
      </c>
      <c r="M116" t="str">
        <f t="shared" si="10"/>
        <v>Visa</v>
      </c>
    </row>
    <row r="117" spans="1:14" x14ac:dyDescent="0.2">
      <c r="A117" t="s">
        <v>215</v>
      </c>
      <c r="B117" t="str" cm="1">
        <f t="array" ref="B117:C117">_xlfn.TEXTSPLIT(A117,"_")</f>
        <v>Cole</v>
      </c>
      <c r="C117" t="str">
        <v>Bray</v>
      </c>
      <c r="D117" t="s">
        <v>167</v>
      </c>
      <c r="E117" t="s">
        <v>216</v>
      </c>
      <c r="F117" t="s">
        <v>60</v>
      </c>
      <c r="G117" t="s">
        <v>213</v>
      </c>
      <c r="H117" t="s">
        <v>281</v>
      </c>
      <c r="I117" t="str">
        <f t="shared" si="9"/>
        <v>Jumbo</v>
      </c>
      <c r="J117" t="str">
        <f t="shared" si="12"/>
        <v>MallPlazaEgana</v>
      </c>
      <c r="K117" t="str">
        <f t="shared" si="13"/>
        <v>Debito</v>
      </c>
      <c r="L117" t="str" cm="1">
        <f t="array" ref="L117">_xlfn.IFS(J117="AltoLasCondes","MallAltoLasCondes",J117="MallPlazaEgaña","MallPlazaEgana",J117="CencoMallCostanera","CostaneraCenter", TRUE,J117)</f>
        <v>MallPlazaEgana</v>
      </c>
      <c r="M117" t="str">
        <f t="shared" si="10"/>
        <v>Debito</v>
      </c>
    </row>
    <row r="118" spans="1:14" x14ac:dyDescent="0.2">
      <c r="A118" t="s">
        <v>124</v>
      </c>
      <c r="B118" t="str" cm="1">
        <f t="array" ref="B118:C118">_xlfn.TEXTSPLIT(A118,"_")</f>
        <v>Ignacio</v>
      </c>
      <c r="C118" t="str">
        <v>Reyes</v>
      </c>
      <c r="D118" t="s">
        <v>129</v>
      </c>
      <c r="E118" t="s">
        <v>42</v>
      </c>
      <c r="F118" t="s">
        <v>60</v>
      </c>
      <c r="G118" t="s">
        <v>282</v>
      </c>
      <c r="H118" t="s">
        <v>283</v>
      </c>
      <c r="I118" t="str">
        <f t="shared" si="9"/>
        <v>SantaIsabel</v>
      </c>
      <c r="J118" t="str">
        <f t="shared" si="12"/>
        <v>AltoLasCondes</v>
      </c>
      <c r="K118" t="str">
        <f t="shared" si="13"/>
        <v>Debito</v>
      </c>
      <c r="L118" t="str" cm="1">
        <f t="array" ref="L118">_xlfn.IFS(J118="AltoLasCondes","MallAltoLasCondes",J118="MallPlazaEgaña","MallPlazaEgana",J118="CencoMallCostanera","CostaneraCenter", TRUE,J118)</f>
        <v>MallAltoLasCondes</v>
      </c>
      <c r="M118" t="str">
        <f t="shared" si="10"/>
        <v>Debito</v>
      </c>
    </row>
    <row r="119" spans="1:14" x14ac:dyDescent="0.2">
      <c r="A119" t="s">
        <v>108</v>
      </c>
      <c r="B119" t="str" cm="1">
        <f t="array" ref="B119:C119">_xlfn.TEXTSPLIT(A119,"_")</f>
        <v>Martina</v>
      </c>
      <c r="C119" t="str">
        <v>Salinas</v>
      </c>
      <c r="D119" t="s">
        <v>71</v>
      </c>
      <c r="E119" t="s">
        <v>121</v>
      </c>
      <c r="F119" t="s">
        <v>115</v>
      </c>
      <c r="G119" t="s">
        <v>284</v>
      </c>
      <c r="H119" t="s">
        <v>285</v>
      </c>
      <c r="I119" t="str">
        <f t="shared" si="9"/>
        <v>Jumbo</v>
      </c>
      <c r="J119" t="str">
        <f t="shared" si="12"/>
        <v>CostaneraCenter</v>
      </c>
      <c r="K119" t="str">
        <f t="shared" si="13"/>
        <v>Visa</v>
      </c>
      <c r="L119" t="str" cm="1">
        <f t="array" ref="L119">_xlfn.IFS(J119="AltoLasCondes","MallAltoLasCondes",J119="MallPlazaEgaña","MallPlazaEgana",J119="CencoMallCostanera","CostaneraCenter", TRUE,J119)</f>
        <v>CostaneraCenter</v>
      </c>
      <c r="M119" t="str">
        <f t="shared" si="10"/>
        <v>Visa</v>
      </c>
    </row>
    <row r="120" spans="1:14" x14ac:dyDescent="0.2">
      <c r="A120" t="s">
        <v>124</v>
      </c>
      <c r="B120" t="str" cm="1">
        <f t="array" ref="B120:C120">_xlfn.TEXTSPLIT(A120,"_")</f>
        <v>Ignacio</v>
      </c>
      <c r="C120" t="str">
        <v>Reyes</v>
      </c>
      <c r="D120" t="s">
        <v>82</v>
      </c>
      <c r="E120" t="s">
        <v>20</v>
      </c>
      <c r="F120" t="s">
        <v>87</v>
      </c>
      <c r="G120" t="s">
        <v>286</v>
      </c>
      <c r="H120" t="s">
        <v>287</v>
      </c>
      <c r="I120" t="str">
        <f t="shared" si="9"/>
        <v>Ripley</v>
      </c>
      <c r="J120" t="str">
        <f t="shared" si="12"/>
        <v>MallPlazaVespucio</v>
      </c>
      <c r="K120" t="str">
        <f t="shared" si="13"/>
        <v>Visa</v>
      </c>
      <c r="L120" t="str" cm="1">
        <f t="array" ref="L120">_xlfn.IFS(J120="AltoLasCondes","MallAltoLasCondes",J120="MallPlazaEgaña","MallPlazaEgana",J120="CencoMallCostanera","CostaneraCenter", TRUE,J120)</f>
        <v>MallPlazaVespucio</v>
      </c>
      <c r="M120" t="str">
        <f t="shared" si="10"/>
        <v>Visa</v>
      </c>
    </row>
    <row r="121" spans="1:14" x14ac:dyDescent="0.2">
      <c r="A121" t="s">
        <v>49</v>
      </c>
      <c r="B121" t="str" cm="1">
        <f t="array" ref="B121:C121">_xlfn.TEXTSPLIT(A121,"_")</f>
        <v>Talia</v>
      </c>
      <c r="C121" t="str">
        <v>Cuevas</v>
      </c>
      <c r="D121" t="s">
        <v>102</v>
      </c>
      <c r="E121" t="s">
        <v>8</v>
      </c>
      <c r="F121" t="s">
        <v>147</v>
      </c>
      <c r="G121" t="s">
        <v>288</v>
      </c>
      <c r="H121" t="s">
        <v>289</v>
      </c>
      <c r="I121" t="str">
        <f t="shared" si="9"/>
        <v>Paris</v>
      </c>
      <c r="J121" t="str">
        <f t="shared" si="12"/>
        <v>MallPlazaVespucio</v>
      </c>
      <c r="K121" t="str">
        <f t="shared" si="13"/>
        <v>Americanexpress</v>
      </c>
      <c r="L121" t="str" cm="1">
        <f t="array" ref="L121">_xlfn.IFS(J121="AltoLasCondes","MallAltoLasCondes",J121="MallPlazaEgaña","MallPlazaEgana",J121="CencoMallCostanera","CostaneraCenter", TRUE,J121)</f>
        <v>MallPlazaVespucio</v>
      </c>
      <c r="M121" t="str">
        <f t="shared" si="10"/>
        <v>Americanexpress</v>
      </c>
    </row>
    <row r="122" spans="1:14" x14ac:dyDescent="0.2">
      <c r="A122" t="s">
        <v>95</v>
      </c>
      <c r="B122" t="str" cm="1">
        <f t="array" ref="B122:C122">_xlfn.TEXTSPLIT(A122,"_")</f>
        <v>Javiera</v>
      </c>
      <c r="C122" t="str">
        <v>Lorca</v>
      </c>
      <c r="D122" t="s">
        <v>90</v>
      </c>
      <c r="E122" t="s">
        <v>216</v>
      </c>
      <c r="F122" t="s">
        <v>156</v>
      </c>
      <c r="G122" t="s">
        <v>152</v>
      </c>
      <c r="H122" t="s">
        <v>290</v>
      </c>
      <c r="I122" t="str">
        <f t="shared" si="9"/>
        <v>Paris</v>
      </c>
      <c r="J122" t="str">
        <f t="shared" si="12"/>
        <v>MallPlazaEgana</v>
      </c>
      <c r="K122" t="str">
        <f t="shared" si="13"/>
        <v>Débito</v>
      </c>
      <c r="L122" t="str" cm="1">
        <f t="array" ref="L122">_xlfn.IFS(J122="AltoLasCondes","MallAltoLasCondes",J122="MallPlazaEgaña","MallPlazaEgana",J122="CencoMallCostanera","CostaneraCenter", TRUE,J122)</f>
        <v>MallPlazaEgana</v>
      </c>
      <c r="M122" t="str">
        <f t="shared" si="10"/>
        <v>Debito</v>
      </c>
    </row>
    <row r="123" spans="1:14" x14ac:dyDescent="0.2">
      <c r="A123" t="s">
        <v>29</v>
      </c>
      <c r="B123" t="str" cm="1">
        <f t="array" ref="B123:C123">_xlfn.TEXTSPLIT(A123,"_")</f>
        <v>Lucas</v>
      </c>
      <c r="C123" t="str">
        <v>Echeverría</v>
      </c>
      <c r="D123" t="s">
        <v>82</v>
      </c>
      <c r="E123" t="s">
        <v>8</v>
      </c>
      <c r="F123" t="s">
        <v>36</v>
      </c>
      <c r="G123" t="s">
        <v>291</v>
      </c>
      <c r="H123" t="s">
        <v>292</v>
      </c>
      <c r="I123" t="str">
        <f t="shared" si="9"/>
        <v>Ripley</v>
      </c>
      <c r="J123" t="str">
        <f t="shared" si="12"/>
        <v>MallPlazaVespucio</v>
      </c>
      <c r="K123" t="str">
        <f t="shared" si="13"/>
        <v>MasterCard</v>
      </c>
      <c r="L123" t="str" cm="1">
        <f t="array" ref="L123">_xlfn.IFS(J123="AltoLasCondes","MallAltoLasCondes",J123="MallPlazaEgaña","MallPlazaEgana",J123="CencoMallCostanera","CostaneraCenter", TRUE,J123)</f>
        <v>MallPlazaVespucio</v>
      </c>
      <c r="M123" t="str">
        <f t="shared" si="10"/>
        <v>MasterCard</v>
      </c>
    </row>
    <row r="124" spans="1:14" x14ac:dyDescent="0.2">
      <c r="A124" t="s">
        <v>108</v>
      </c>
      <c r="B124" t="str" cm="1">
        <f t="array" ref="B124:C124">_xlfn.TEXTSPLIT(A124,"_")</f>
        <v>Martina</v>
      </c>
      <c r="C124" t="str">
        <v>Salinas</v>
      </c>
      <c r="D124" t="s">
        <v>167</v>
      </c>
      <c r="E124" t="s">
        <v>126</v>
      </c>
      <c r="F124" t="s">
        <v>130</v>
      </c>
      <c r="G124" t="s">
        <v>272</v>
      </c>
      <c r="H124" t="s">
        <v>293</v>
      </c>
      <c r="I124" t="str">
        <f t="shared" si="9"/>
        <v>Jumbo</v>
      </c>
      <c r="J124" t="str">
        <f t="shared" si="12"/>
        <v>MallAltoLasCondes</v>
      </c>
      <c r="K124" t="str">
        <f t="shared" si="13"/>
        <v>MasterCard</v>
      </c>
      <c r="L124" t="str" cm="1">
        <f t="array" ref="L124">_xlfn.IFS(J124="AltoLasCondes","MallAltoLasCondes",J124="MallPlazaEgaña","MallPlazaEgana",J124="CencoMallCostanera","CostaneraCenter", TRUE,J124)</f>
        <v>MallAltoLasCondes</v>
      </c>
      <c r="M124" t="str">
        <f t="shared" si="10"/>
        <v>MasterCard</v>
      </c>
    </row>
    <row r="125" spans="1:14" x14ac:dyDescent="0.2">
      <c r="A125" t="s">
        <v>159</v>
      </c>
      <c r="B125" t="str" cm="1">
        <f t="array" ref="B125:C125">_xlfn.TEXTSPLIT(A125,"_")</f>
        <v>Tomás</v>
      </c>
      <c r="C125" t="str">
        <v>Guzmán</v>
      </c>
      <c r="D125" t="s">
        <v>82</v>
      </c>
      <c r="E125" t="s">
        <v>121</v>
      </c>
      <c r="F125" t="s">
        <v>57</v>
      </c>
      <c r="G125" t="s">
        <v>195</v>
      </c>
      <c r="H125" t="s">
        <v>294</v>
      </c>
      <c r="I125" t="str">
        <f t="shared" si="9"/>
        <v>Ripley</v>
      </c>
      <c r="J125" t="str">
        <f t="shared" si="12"/>
        <v>CostaneraCenter</v>
      </c>
      <c r="K125" t="str">
        <f t="shared" si="13"/>
        <v>Efectivo</v>
      </c>
      <c r="L125" t="str" cm="1">
        <f t="array" ref="L125">_xlfn.IFS(J125="AltoLasCondes","MallAltoLasCondes",J125="MallPlazaEgaña","MallPlazaEgana",J125="CencoMallCostanera","CostaneraCenter", TRUE,J125)</f>
        <v>CostaneraCenter</v>
      </c>
      <c r="M125" t="str">
        <f t="shared" si="10"/>
        <v>Efectivo</v>
      </c>
    </row>
    <row r="126" spans="1:14" x14ac:dyDescent="0.2">
      <c r="A126" t="s">
        <v>98</v>
      </c>
      <c r="B126" t="str" cm="1">
        <f t="array" ref="B126:C126">_xlfn.TEXTSPLIT(A126,"_")</f>
        <v>Sienna</v>
      </c>
      <c r="C126" t="str">
        <v>Frost</v>
      </c>
      <c r="D126" t="s">
        <v>295</v>
      </c>
      <c r="E126" t="s">
        <v>51</v>
      </c>
      <c r="F126" t="s">
        <v>244</v>
      </c>
      <c r="G126" t="s">
        <v>10</v>
      </c>
      <c r="H126" t="s">
        <v>296</v>
      </c>
      <c r="I126" t="str">
        <f t="shared" si="9"/>
        <v>Sodimac</v>
      </c>
      <c r="J126" t="str">
        <f t="shared" si="12"/>
        <v>MallplazaVespucio</v>
      </c>
      <c r="K126" t="str">
        <f t="shared" si="13"/>
        <v>Debito</v>
      </c>
      <c r="L126" t="str" cm="1">
        <f t="array" ref="L126">_xlfn.IFS(J126="AltoLasCondes","MallAltoLasCondes",J126="MallPlazaEgaña","MallPlazaEgana",J126="CencoMallCostanera","CostaneraCenter", TRUE,J126)</f>
        <v>MallplazaVespucio</v>
      </c>
      <c r="M126" t="str">
        <f t="shared" si="10"/>
        <v>Debito</v>
      </c>
    </row>
    <row r="127" spans="1:14" x14ac:dyDescent="0.2">
      <c r="A127" t="s">
        <v>159</v>
      </c>
      <c r="B127" t="str" cm="1">
        <f t="array" ref="B127:C127">_xlfn.TEXTSPLIT(A127,"_")</f>
        <v>Tomás</v>
      </c>
      <c r="C127" t="str">
        <v>Guzmán</v>
      </c>
      <c r="D127" t="s">
        <v>120</v>
      </c>
      <c r="E127" t="s">
        <v>8</v>
      </c>
      <c r="F127" t="s">
        <v>15</v>
      </c>
      <c r="G127" t="s">
        <v>220</v>
      </c>
      <c r="H127" t="s">
        <v>297</v>
      </c>
      <c r="I127" t="str">
        <f t="shared" si="9"/>
        <v>Paris</v>
      </c>
      <c r="J127" t="str">
        <f t="shared" si="12"/>
        <v>MallPlazaVespucio</v>
      </c>
      <c r="K127" t="str">
        <f t="shared" si="13"/>
        <v>MasterCard</v>
      </c>
      <c r="L127" t="str" cm="1">
        <f t="array" ref="L127">_xlfn.IFS(J127="AltoLasCondes","MallAltoLasCondes",J127="MallPlazaEgaña","MallPlazaEgana",J127="CencoMallCostanera","CostaneraCenter", TRUE,J127)</f>
        <v>MallPlazaVespucio</v>
      </c>
      <c r="M127" t="str">
        <f t="shared" si="10"/>
        <v>MasterCard</v>
      </c>
    </row>
    <row r="128" spans="1:14" x14ac:dyDescent="0.2">
      <c r="A128" t="s">
        <v>159</v>
      </c>
      <c r="B128" t="str" cm="1">
        <f t="array" ref="B128:C128">_xlfn.TEXTSPLIT(A128,"_")</f>
        <v>Tomás</v>
      </c>
      <c r="C128" t="str">
        <v>Guzmán</v>
      </c>
      <c r="D128" t="s">
        <v>82</v>
      </c>
      <c r="E128" t="s">
        <v>67</v>
      </c>
      <c r="F128" t="s">
        <v>134</v>
      </c>
      <c r="G128" t="s">
        <v>298</v>
      </c>
      <c r="H128" t="s">
        <v>299</v>
      </c>
      <c r="I128" t="str">
        <f t="shared" si="9"/>
        <v>Ripley</v>
      </c>
      <c r="J128" t="str">
        <f t="shared" si="12"/>
        <v>CencoMallCostanera</v>
      </c>
      <c r="K128" t="str">
        <f t="shared" si="13"/>
        <v>AmericanExpress</v>
      </c>
      <c r="L128" t="str" cm="1">
        <f t="array" ref="L128">_xlfn.IFS(J128="AltoLasCondes","MallAltoLasCondes",J128="MallPlazaEgaña","MallPlazaEgana",J128="CencoMallCostanera","CostaneraCenter", TRUE,J128)</f>
        <v>CostaneraCenter</v>
      </c>
      <c r="M128" t="str">
        <f t="shared" si="10"/>
        <v>AmericanExpress</v>
      </c>
      <c r="N128" t="str">
        <f t="shared" ref="N128:N129" si="17">LEFT(H128,3)</f>
        <v>AUX</v>
      </c>
    </row>
    <row r="129" spans="1:14" x14ac:dyDescent="0.2">
      <c r="A129" t="s">
        <v>172</v>
      </c>
      <c r="B129" t="str" cm="1">
        <f t="array" ref="B129:C129">_xlfn.TEXTSPLIT(A129,"_")</f>
        <v>Mila</v>
      </c>
      <c r="C129" t="str">
        <v>Rivers</v>
      </c>
      <c r="D129" t="s">
        <v>90</v>
      </c>
      <c r="E129" t="s">
        <v>20</v>
      </c>
      <c r="F129" t="s">
        <v>130</v>
      </c>
      <c r="G129" t="s">
        <v>300</v>
      </c>
      <c r="H129" t="s">
        <v>301</v>
      </c>
      <c r="I129" t="str">
        <f t="shared" si="9"/>
        <v>Paris</v>
      </c>
      <c r="J129" t="str">
        <f t="shared" si="12"/>
        <v>MallPlazaVespucio</v>
      </c>
      <c r="K129" t="str">
        <f t="shared" si="13"/>
        <v>MasterCard</v>
      </c>
      <c r="L129" t="str" cm="1">
        <f t="array" ref="L129">_xlfn.IFS(J129="AltoLasCondes","MallAltoLasCondes",J129="MallPlazaEgaña","MallPlazaEgana",J129="CencoMallCostanera","CostaneraCenter", TRUE,J129)</f>
        <v>MallPlazaVespucio</v>
      </c>
      <c r="M129" t="str">
        <f t="shared" si="10"/>
        <v>MasterCard</v>
      </c>
      <c r="N129" t="str">
        <f t="shared" si="17"/>
        <v>RET</v>
      </c>
    </row>
    <row r="130" spans="1:14" x14ac:dyDescent="0.2">
      <c r="A130" t="s">
        <v>105</v>
      </c>
      <c r="B130" t="str" cm="1">
        <f t="array" ref="B130:C130">_xlfn.TEXTSPLIT(A130,"_")</f>
        <v>Camila</v>
      </c>
      <c r="C130" t="str">
        <v>Errázuriz</v>
      </c>
      <c r="D130" t="s">
        <v>19</v>
      </c>
      <c r="E130" t="s">
        <v>31</v>
      </c>
      <c r="F130" t="s">
        <v>9</v>
      </c>
      <c r="G130" t="s">
        <v>239</v>
      </c>
      <c r="H130" t="s">
        <v>302</v>
      </c>
      <c r="I130" t="str">
        <f t="shared" si="9"/>
        <v>Falabella</v>
      </c>
      <c r="J130" t="str">
        <f t="shared" si="12"/>
        <v>ParqueArauco</v>
      </c>
      <c r="K130" t="str">
        <f t="shared" si="13"/>
        <v>Efectivo</v>
      </c>
      <c r="L130" t="str" cm="1">
        <f t="array" ref="L130">_xlfn.IFS(J130="AltoLasCondes","MallAltoLasCondes",J130="MallPlazaEgaña","MallPlazaEgana",J130="CencoMallCostanera","CostaneraCenter", TRUE,J130)</f>
        <v>ParqueArauco</v>
      </c>
      <c r="M130" t="str">
        <f t="shared" si="10"/>
        <v>Efectivo</v>
      </c>
    </row>
    <row r="131" spans="1:14" x14ac:dyDescent="0.2">
      <c r="A131" t="s">
        <v>98</v>
      </c>
      <c r="B131" t="str" cm="1">
        <f t="array" ref="B131:C131">_xlfn.TEXTSPLIT(A131,"_")</f>
        <v>Sienna</v>
      </c>
      <c r="C131" t="str">
        <v>Frost</v>
      </c>
      <c r="D131" t="s">
        <v>125</v>
      </c>
      <c r="E131" t="s">
        <v>14</v>
      </c>
      <c r="F131" t="s">
        <v>21</v>
      </c>
      <c r="G131" t="s">
        <v>198</v>
      </c>
      <c r="H131" t="s">
        <v>303</v>
      </c>
      <c r="I131" t="str">
        <f t="shared" ref="I131:I194" si="18">SUBSTITUTE(PROPER(TRIM((D131)))," ","")</f>
        <v>Ripley</v>
      </c>
      <c r="J131" t="str">
        <f t="shared" si="12"/>
        <v>MallPlazaEgaña</v>
      </c>
      <c r="K131" t="str">
        <f t="shared" si="13"/>
        <v>Visa</v>
      </c>
      <c r="L131" t="str" cm="1">
        <f t="array" ref="L131">_xlfn.IFS(J131="AltoLasCondes","MallAltoLasCondes",J131="MallPlazaEgaña","MallPlazaEgana",J131="CencoMallCostanera","CostaneraCenter", TRUE,J131)</f>
        <v>MallPlazaEgana</v>
      </c>
      <c r="M131" t="str">
        <f t="shared" ref="M131:M194" si="19">IF(K131="Débito","Debito",K131)</f>
        <v>Visa</v>
      </c>
    </row>
    <row r="132" spans="1:14" x14ac:dyDescent="0.2">
      <c r="A132" t="s">
        <v>18</v>
      </c>
      <c r="B132" t="str" cm="1">
        <f t="array" ref="B132:C132">_xlfn.TEXTSPLIT(A132,"_")</f>
        <v>Xander</v>
      </c>
      <c r="C132" t="str">
        <v>Knight</v>
      </c>
      <c r="D132" t="s">
        <v>63</v>
      </c>
      <c r="E132" t="s">
        <v>51</v>
      </c>
      <c r="F132" t="s">
        <v>21</v>
      </c>
      <c r="G132" t="s">
        <v>44</v>
      </c>
      <c r="H132" t="s">
        <v>304</v>
      </c>
      <c r="I132" t="str">
        <f t="shared" si="18"/>
        <v>H&amp;M</v>
      </c>
      <c r="J132" t="str">
        <f t="shared" si="12"/>
        <v>MallplazaVespucio</v>
      </c>
      <c r="K132" t="str">
        <f t="shared" si="13"/>
        <v>Visa</v>
      </c>
      <c r="L132" t="str" cm="1">
        <f t="array" ref="L132">_xlfn.IFS(J132="AltoLasCondes","MallAltoLasCondes",J132="MallPlazaEgaña","MallPlazaEgana",J132="CencoMallCostanera","CostaneraCenter", TRUE,J132)</f>
        <v>MallplazaVespucio</v>
      </c>
      <c r="M132" t="str">
        <f t="shared" si="19"/>
        <v>Visa</v>
      </c>
    </row>
    <row r="133" spans="1:14" x14ac:dyDescent="0.2">
      <c r="A133" t="s">
        <v>243</v>
      </c>
      <c r="B133" t="str" cm="1">
        <f t="array" ref="B133:C133">_xlfn.TEXTSPLIT(A133,"_")</f>
        <v>Valentina</v>
      </c>
      <c r="C133" t="str">
        <v>Soto</v>
      </c>
      <c r="D133" t="s">
        <v>125</v>
      </c>
      <c r="E133" t="s">
        <v>59</v>
      </c>
      <c r="F133" t="s">
        <v>156</v>
      </c>
      <c r="G133" t="s">
        <v>72</v>
      </c>
      <c r="H133" t="s">
        <v>305</v>
      </c>
      <c r="I133" t="str">
        <f t="shared" si="18"/>
        <v>Ripley</v>
      </c>
      <c r="J133" t="str">
        <f t="shared" si="12"/>
        <v>AltoLasCondes</v>
      </c>
      <c r="K133" t="str">
        <f t="shared" si="13"/>
        <v>Débito</v>
      </c>
      <c r="L133" t="str" cm="1">
        <f t="array" ref="L133">_xlfn.IFS(J133="AltoLasCondes","MallAltoLasCondes",J133="MallPlazaEgaña","MallPlazaEgana",J133="CencoMallCostanera","CostaneraCenter", TRUE,J133)</f>
        <v>MallAltoLasCondes</v>
      </c>
      <c r="M133" t="str">
        <f t="shared" si="19"/>
        <v>Debito</v>
      </c>
    </row>
    <row r="134" spans="1:14" x14ac:dyDescent="0.2">
      <c r="A134" t="s">
        <v>105</v>
      </c>
      <c r="B134" t="str" cm="1">
        <f t="array" ref="B134:C134">_xlfn.TEXTSPLIT(A134,"_")</f>
        <v>Camila</v>
      </c>
      <c r="C134" t="str">
        <v>Errázuriz</v>
      </c>
      <c r="D134" t="s">
        <v>7</v>
      </c>
      <c r="E134" t="s">
        <v>91</v>
      </c>
      <c r="F134" t="s">
        <v>115</v>
      </c>
      <c r="G134" t="s">
        <v>157</v>
      </c>
      <c r="H134" t="s">
        <v>306</v>
      </c>
      <c r="I134" t="str">
        <f t="shared" si="18"/>
        <v>Zara</v>
      </c>
      <c r="J134" t="str">
        <f t="shared" si="12"/>
        <v>CostaneraCenter</v>
      </c>
      <c r="K134" t="str">
        <f t="shared" si="13"/>
        <v>Visa</v>
      </c>
      <c r="L134" t="str" cm="1">
        <f t="array" ref="L134">_xlfn.IFS(J134="AltoLasCondes","MallAltoLasCondes",J134="MallPlazaEgaña","MallPlazaEgana",J134="CencoMallCostanera","CostaneraCenter", TRUE,J134)</f>
        <v>CostaneraCenter</v>
      </c>
      <c r="M134" t="str">
        <f t="shared" si="19"/>
        <v>Visa</v>
      </c>
    </row>
    <row r="135" spans="1:14" x14ac:dyDescent="0.2">
      <c r="A135" t="s">
        <v>206</v>
      </c>
      <c r="B135" t="str" cm="1">
        <f t="array" ref="B135:C135">_xlfn.TEXTSPLIT(A135,"_")</f>
        <v>Mateo</v>
      </c>
      <c r="C135" t="str">
        <v>Fuenzalida</v>
      </c>
      <c r="D135" t="s">
        <v>96</v>
      </c>
      <c r="E135" t="s">
        <v>25</v>
      </c>
      <c r="F135" t="s">
        <v>92</v>
      </c>
      <c r="G135" t="s">
        <v>307</v>
      </c>
      <c r="H135" t="s">
        <v>308</v>
      </c>
      <c r="I135" t="str">
        <f t="shared" si="18"/>
        <v>SodimacHomecenter</v>
      </c>
      <c r="J135" t="str">
        <f t="shared" si="12"/>
        <v>MallParqueArauco</v>
      </c>
      <c r="K135" t="str">
        <f t="shared" si="13"/>
        <v>Efectivo</v>
      </c>
      <c r="L135" t="str" cm="1">
        <f t="array" ref="L135">_xlfn.IFS(J135="AltoLasCondes","MallAltoLasCondes",J135="MallPlazaEgaña","MallPlazaEgana",J135="CencoMallCostanera","CostaneraCenter", TRUE,J135)</f>
        <v>MallParqueArauco</v>
      </c>
      <c r="M135" t="str">
        <f t="shared" si="19"/>
        <v>Efectivo</v>
      </c>
    </row>
    <row r="136" spans="1:14" x14ac:dyDescent="0.2">
      <c r="A136" t="s">
        <v>180</v>
      </c>
      <c r="B136" t="str" cm="1">
        <f t="array" ref="B136:C136">_xlfn.TEXTSPLIT(A136,"_")</f>
        <v>Florencia</v>
      </c>
      <c r="C136" t="str">
        <v>Matte</v>
      </c>
      <c r="D136" t="s">
        <v>102</v>
      </c>
      <c r="E136" t="s">
        <v>121</v>
      </c>
      <c r="F136" t="s">
        <v>15</v>
      </c>
      <c r="G136" t="s">
        <v>47</v>
      </c>
      <c r="H136" t="s">
        <v>309</v>
      </c>
      <c r="I136" t="str">
        <f t="shared" si="18"/>
        <v>Paris</v>
      </c>
      <c r="J136" t="str">
        <f t="shared" si="12"/>
        <v>CostaneraCenter</v>
      </c>
      <c r="K136" t="str">
        <f t="shared" si="13"/>
        <v>MasterCard</v>
      </c>
      <c r="L136" t="str" cm="1">
        <f t="array" ref="L136">_xlfn.IFS(J136="AltoLasCondes","MallAltoLasCondes",J136="MallPlazaEgaña","MallPlazaEgana",J136="CencoMallCostanera","CostaneraCenter", TRUE,J136)</f>
        <v>CostaneraCenter</v>
      </c>
      <c r="M136" t="str">
        <f t="shared" si="19"/>
        <v>MasterCard</v>
      </c>
    </row>
    <row r="137" spans="1:14" x14ac:dyDescent="0.2">
      <c r="A137" t="s">
        <v>162</v>
      </c>
      <c r="B137" t="str" cm="1">
        <f t="array" ref="B137:C137">_xlfn.TEXTSPLIT(A137,"_")</f>
        <v>Elaina</v>
      </c>
      <c r="C137" t="str">
        <v>Giles</v>
      </c>
      <c r="D137" t="s">
        <v>46</v>
      </c>
      <c r="E137" t="s">
        <v>67</v>
      </c>
      <c r="F137" t="s">
        <v>43</v>
      </c>
      <c r="G137" t="s">
        <v>310</v>
      </c>
      <c r="H137" t="s">
        <v>311</v>
      </c>
      <c r="I137" t="str">
        <f t="shared" si="18"/>
        <v>Easy</v>
      </c>
      <c r="J137" t="str">
        <f t="shared" si="12"/>
        <v>CencoMallCostanera</v>
      </c>
      <c r="K137" t="str">
        <f t="shared" si="13"/>
        <v>Mastercard</v>
      </c>
      <c r="L137" t="str" cm="1">
        <f t="array" ref="L137">_xlfn.IFS(J137="AltoLasCondes","MallAltoLasCondes",J137="MallPlazaEgaña","MallPlazaEgana",J137="CencoMallCostanera","CostaneraCenter", TRUE,J137)</f>
        <v>CostaneraCenter</v>
      </c>
      <c r="M137" t="str">
        <f t="shared" si="19"/>
        <v>Mastercard</v>
      </c>
    </row>
    <row r="138" spans="1:14" x14ac:dyDescent="0.2">
      <c r="A138" t="s">
        <v>49</v>
      </c>
      <c r="B138" t="str" cm="1">
        <f t="array" ref="B138:C138">_xlfn.TEXTSPLIT(A138,"_")</f>
        <v>Talia</v>
      </c>
      <c r="C138" t="str">
        <v>Cuevas</v>
      </c>
      <c r="D138" t="s">
        <v>165</v>
      </c>
      <c r="E138" t="s">
        <v>8</v>
      </c>
      <c r="F138" t="s">
        <v>57</v>
      </c>
      <c r="G138" t="s">
        <v>173</v>
      </c>
      <c r="H138" t="s">
        <v>312</v>
      </c>
      <c r="I138" t="str">
        <f t="shared" si="18"/>
        <v>Sta.Isabel</v>
      </c>
      <c r="J138" t="str">
        <f t="shared" si="12"/>
        <v>MallPlazaVespucio</v>
      </c>
      <c r="K138" t="str">
        <f t="shared" si="13"/>
        <v>Efectivo</v>
      </c>
      <c r="L138" t="str" cm="1">
        <f t="array" ref="L138">_xlfn.IFS(J138="AltoLasCondes","MallAltoLasCondes",J138="MallPlazaEgaña","MallPlazaEgana",J138="CencoMallCostanera","CostaneraCenter", TRUE,J138)</f>
        <v>MallPlazaVespucio</v>
      </c>
      <c r="M138" t="str">
        <f t="shared" si="19"/>
        <v>Efectivo</v>
      </c>
    </row>
    <row r="139" spans="1:14" x14ac:dyDescent="0.2">
      <c r="A139" t="s">
        <v>108</v>
      </c>
      <c r="B139" t="str" cm="1">
        <f t="array" ref="B139:C139">_xlfn.TEXTSPLIT(A139,"_")</f>
        <v>Martina</v>
      </c>
      <c r="C139" t="str">
        <v>Salinas</v>
      </c>
      <c r="D139" t="s">
        <v>102</v>
      </c>
      <c r="E139" t="s">
        <v>20</v>
      </c>
      <c r="F139" t="s">
        <v>147</v>
      </c>
      <c r="G139" t="s">
        <v>313</v>
      </c>
      <c r="H139" t="s">
        <v>314</v>
      </c>
      <c r="I139" t="str">
        <f t="shared" si="18"/>
        <v>Paris</v>
      </c>
      <c r="J139" t="str">
        <f t="shared" si="12"/>
        <v>MallPlazaVespucio</v>
      </c>
      <c r="K139" t="str">
        <f t="shared" si="13"/>
        <v>Americanexpress</v>
      </c>
      <c r="L139" t="str" cm="1">
        <f t="array" ref="L139">_xlfn.IFS(J139="AltoLasCondes","MallAltoLasCondes",J139="MallPlazaEgaña","MallPlazaEgana",J139="CencoMallCostanera","CostaneraCenter", TRUE,J139)</f>
        <v>MallPlazaVespucio</v>
      </c>
      <c r="M139" t="str">
        <f t="shared" si="19"/>
        <v>Americanexpress</v>
      </c>
    </row>
    <row r="140" spans="1:14" x14ac:dyDescent="0.2">
      <c r="A140" t="s">
        <v>66</v>
      </c>
      <c r="B140" t="str" cm="1">
        <f t="array" ref="B140:C140">_xlfn.TEXTSPLIT(A140,"_")</f>
        <v>Priscilia</v>
      </c>
      <c r="C140" t="str">
        <v>Welch</v>
      </c>
      <c r="D140" t="s">
        <v>63</v>
      </c>
      <c r="E140" t="s">
        <v>86</v>
      </c>
      <c r="F140" t="s">
        <v>26</v>
      </c>
      <c r="G140" t="s">
        <v>313</v>
      </c>
      <c r="H140" t="s">
        <v>315</v>
      </c>
      <c r="I140" t="str">
        <f t="shared" si="18"/>
        <v>H&amp;M</v>
      </c>
      <c r="J140" t="str">
        <f t="shared" si="12"/>
        <v>CencoMallCostanera</v>
      </c>
      <c r="K140" t="str">
        <f t="shared" si="13"/>
        <v>AmericanExpress</v>
      </c>
      <c r="L140" t="str" cm="1">
        <f t="array" ref="L140">_xlfn.IFS(J140="AltoLasCondes","MallAltoLasCondes",J140="MallPlazaEgaña","MallPlazaEgana",J140="CencoMallCostanera","CostaneraCenter", TRUE,J140)</f>
        <v>CostaneraCenter</v>
      </c>
      <c r="M140" t="str">
        <f t="shared" si="19"/>
        <v>AmericanExpress</v>
      </c>
    </row>
    <row r="141" spans="1:14" x14ac:dyDescent="0.2">
      <c r="A141" t="s">
        <v>243</v>
      </c>
      <c r="B141" t="str" cm="1">
        <f t="array" ref="B141:C141">_xlfn.TEXTSPLIT(A141,"_")</f>
        <v>Valentina</v>
      </c>
      <c r="C141" t="str">
        <v>Soto</v>
      </c>
      <c r="D141" t="s">
        <v>165</v>
      </c>
      <c r="E141" t="s">
        <v>86</v>
      </c>
      <c r="F141" t="s">
        <v>115</v>
      </c>
      <c r="G141" t="s">
        <v>310</v>
      </c>
      <c r="H141" t="s">
        <v>316</v>
      </c>
      <c r="I141" t="str">
        <f t="shared" si="18"/>
        <v>Sta.Isabel</v>
      </c>
      <c r="J141" t="str">
        <f t="shared" si="12"/>
        <v>CencoMallCostanera</v>
      </c>
      <c r="K141" t="str">
        <f t="shared" si="13"/>
        <v>Visa</v>
      </c>
      <c r="L141" t="str" cm="1">
        <f t="array" ref="L141">_xlfn.IFS(J141="AltoLasCondes","MallAltoLasCondes",J141="MallPlazaEgaña","MallPlazaEgana",J141="CencoMallCostanera","CostaneraCenter", TRUE,J141)</f>
        <v>CostaneraCenter</v>
      </c>
      <c r="M141" t="str">
        <f t="shared" si="19"/>
        <v>Visa</v>
      </c>
    </row>
    <row r="142" spans="1:14" x14ac:dyDescent="0.2">
      <c r="A142" t="s">
        <v>180</v>
      </c>
      <c r="B142" t="str" cm="1">
        <f t="array" ref="B142:C142">_xlfn.TEXTSPLIT(A142,"_")</f>
        <v>Florencia</v>
      </c>
      <c r="C142" t="str">
        <v>Matte</v>
      </c>
      <c r="D142" t="s">
        <v>295</v>
      </c>
      <c r="E142" t="s">
        <v>14</v>
      </c>
      <c r="F142" t="s">
        <v>26</v>
      </c>
      <c r="G142" t="s">
        <v>44</v>
      </c>
      <c r="H142" t="s">
        <v>317</v>
      </c>
      <c r="I142" t="str">
        <f t="shared" si="18"/>
        <v>Sodimac</v>
      </c>
      <c r="J142" t="str">
        <f t="shared" si="12"/>
        <v>MallPlazaEgaña</v>
      </c>
      <c r="K142" t="str">
        <f t="shared" si="13"/>
        <v>AmericanExpress</v>
      </c>
      <c r="L142" t="str" cm="1">
        <f t="array" ref="L142">_xlfn.IFS(J142="AltoLasCondes","MallAltoLasCondes",J142="MallPlazaEgaña","MallPlazaEgana",J142="CencoMallCostanera","CostaneraCenter", TRUE,J142)</f>
        <v>MallPlazaEgana</v>
      </c>
      <c r="M142" t="str">
        <f t="shared" si="19"/>
        <v>AmericanExpress</v>
      </c>
      <c r="N142" t="str">
        <f t="shared" ref="N142:N143" si="20">LEFT(H142,3)</f>
        <v>RET</v>
      </c>
    </row>
    <row r="143" spans="1:14" x14ac:dyDescent="0.2">
      <c r="A143" t="s">
        <v>162</v>
      </c>
      <c r="B143" t="str" cm="1">
        <f t="array" ref="B143:C143">_xlfn.TEXTSPLIT(A143,"_")</f>
        <v>Elaina</v>
      </c>
      <c r="C143" t="str">
        <v>Giles</v>
      </c>
      <c r="D143" t="s">
        <v>295</v>
      </c>
      <c r="E143" t="s">
        <v>42</v>
      </c>
      <c r="F143" t="s">
        <v>130</v>
      </c>
      <c r="G143" t="s">
        <v>264</v>
      </c>
      <c r="H143" t="s">
        <v>318</v>
      </c>
      <c r="I143" t="str">
        <f t="shared" si="18"/>
        <v>Sodimac</v>
      </c>
      <c r="J143" t="str">
        <f t="shared" si="12"/>
        <v>AltoLasCondes</v>
      </c>
      <c r="K143" t="str">
        <f t="shared" si="13"/>
        <v>MasterCard</v>
      </c>
      <c r="L143" t="str" cm="1">
        <f t="array" ref="L143">_xlfn.IFS(J143="AltoLasCondes","MallAltoLasCondes",J143="MallPlazaEgaña","MallPlazaEgana",J143="CencoMallCostanera","CostaneraCenter", TRUE,J143)</f>
        <v>MallAltoLasCondes</v>
      </c>
      <c r="M143" t="str">
        <f t="shared" si="19"/>
        <v>MasterCard</v>
      </c>
      <c r="N143" t="str">
        <f t="shared" si="20"/>
        <v>AUX</v>
      </c>
    </row>
    <row r="144" spans="1:14" x14ac:dyDescent="0.2">
      <c r="A144" t="s">
        <v>105</v>
      </c>
      <c r="B144" t="str" cm="1">
        <f t="array" ref="B144:C144">_xlfn.TEXTSPLIT(A144,"_")</f>
        <v>Camila</v>
      </c>
      <c r="C144" t="str">
        <v>Errázuriz</v>
      </c>
      <c r="D144" t="s">
        <v>71</v>
      </c>
      <c r="E144" t="s">
        <v>83</v>
      </c>
      <c r="F144" t="s">
        <v>52</v>
      </c>
      <c r="G144" t="s">
        <v>76</v>
      </c>
      <c r="H144" t="s">
        <v>319</v>
      </c>
      <c r="I144" t="str">
        <f t="shared" si="18"/>
        <v>Jumbo</v>
      </c>
      <c r="J144" t="str">
        <f t="shared" si="12"/>
        <v>MallplazaEgaña</v>
      </c>
      <c r="K144" t="str">
        <f t="shared" si="13"/>
        <v>Visa</v>
      </c>
      <c r="L144" t="str" cm="1">
        <f t="array" ref="L144">_xlfn.IFS(J144="AltoLasCondes","MallAltoLasCondes",J144="MallPlazaEgaña","MallPlazaEgana",J144="CencoMallCostanera","CostaneraCenter", TRUE,J144)</f>
        <v>MallPlazaEgana</v>
      </c>
      <c r="M144" t="str">
        <f t="shared" si="19"/>
        <v>Visa</v>
      </c>
    </row>
    <row r="145" spans="1:14" x14ac:dyDescent="0.2">
      <c r="A145" t="s">
        <v>243</v>
      </c>
      <c r="B145" t="str" cm="1">
        <f t="array" ref="B145:C145">_xlfn.TEXTSPLIT(A145,"_")</f>
        <v>Valentina</v>
      </c>
      <c r="C145" t="str">
        <v>Soto</v>
      </c>
      <c r="D145" t="s">
        <v>295</v>
      </c>
      <c r="E145" t="s">
        <v>83</v>
      </c>
      <c r="F145" t="s">
        <v>87</v>
      </c>
      <c r="G145" t="s">
        <v>44</v>
      </c>
      <c r="H145" t="s">
        <v>320</v>
      </c>
      <c r="I145" t="str">
        <f t="shared" si="18"/>
        <v>Sodimac</v>
      </c>
      <c r="J145" t="str">
        <f t="shared" si="12"/>
        <v>MallplazaEgaña</v>
      </c>
      <c r="K145" t="str">
        <f t="shared" si="13"/>
        <v>Visa</v>
      </c>
      <c r="L145" t="str" cm="1">
        <f t="array" ref="L145">_xlfn.IFS(J145="AltoLasCondes","MallAltoLasCondes",J145="MallPlazaEgaña","MallPlazaEgana",J145="CencoMallCostanera","CostaneraCenter", TRUE,J145)</f>
        <v>MallPlazaEgana</v>
      </c>
      <c r="M145" t="str">
        <f t="shared" si="19"/>
        <v>Visa</v>
      </c>
    </row>
    <row r="146" spans="1:14" x14ac:dyDescent="0.2">
      <c r="A146" t="s">
        <v>98</v>
      </c>
      <c r="B146" t="str" cm="1">
        <f t="array" ref="B146:C146">_xlfn.TEXTSPLIT(A146,"_")</f>
        <v>Sienna</v>
      </c>
      <c r="C146" t="str">
        <v>Frost</v>
      </c>
      <c r="D146" t="s">
        <v>56</v>
      </c>
      <c r="E146" t="s">
        <v>83</v>
      </c>
      <c r="F146" t="s">
        <v>75</v>
      </c>
      <c r="G146" t="s">
        <v>321</v>
      </c>
      <c r="H146" t="s">
        <v>322</v>
      </c>
      <c r="I146" t="str">
        <f t="shared" si="18"/>
        <v>París</v>
      </c>
      <c r="J146" t="str">
        <f t="shared" ref="J146:J209" si="21">SUBSTITUTE(PROPER(TRIM((E146)))," ","")</f>
        <v>MallplazaEgaña</v>
      </c>
      <c r="K146" t="str">
        <f t="shared" ref="K146:K209" si="22">SUBSTITUTE(PROPER(TRIM((F146)))," ","")</f>
        <v>Debito</v>
      </c>
      <c r="L146" t="str" cm="1">
        <f t="array" ref="L146">_xlfn.IFS(J146="AltoLasCondes","MallAltoLasCondes",J146="MallPlazaEgaña","MallPlazaEgana",J146="CencoMallCostanera","CostaneraCenter", TRUE,J146)</f>
        <v>MallPlazaEgana</v>
      </c>
      <c r="M146" t="str">
        <f t="shared" si="19"/>
        <v>Debito</v>
      </c>
    </row>
    <row r="147" spans="1:14" x14ac:dyDescent="0.2">
      <c r="A147" t="s">
        <v>70</v>
      </c>
      <c r="B147" t="str" cm="1">
        <f t="array" ref="B147:C147">_xlfn.TEXTSPLIT(A147,"_")</f>
        <v>Liora</v>
      </c>
      <c r="C147" t="str">
        <v>Pace</v>
      </c>
      <c r="D147" t="s">
        <v>197</v>
      </c>
      <c r="E147" t="s">
        <v>126</v>
      </c>
      <c r="F147" t="s">
        <v>60</v>
      </c>
      <c r="G147" t="s">
        <v>72</v>
      </c>
      <c r="H147" t="s">
        <v>323</v>
      </c>
      <c r="I147" t="str">
        <f t="shared" si="18"/>
        <v>Ripley</v>
      </c>
      <c r="J147" t="str">
        <f t="shared" si="21"/>
        <v>MallAltoLasCondes</v>
      </c>
      <c r="K147" t="str">
        <f t="shared" si="22"/>
        <v>Debito</v>
      </c>
      <c r="L147" t="str" cm="1">
        <f t="array" ref="L147">_xlfn.IFS(J147="AltoLasCondes","MallAltoLasCondes",J147="MallPlazaEgaña","MallPlazaEgana",J147="CencoMallCostanera","CostaneraCenter", TRUE,J147)</f>
        <v>MallAltoLasCondes</v>
      </c>
      <c r="M147" t="str">
        <f t="shared" si="19"/>
        <v>Debito</v>
      </c>
    </row>
    <row r="148" spans="1:14" x14ac:dyDescent="0.2">
      <c r="A148" t="s">
        <v>18</v>
      </c>
      <c r="B148" t="str" cm="1">
        <f t="array" ref="B148:C148">_xlfn.TEXTSPLIT(A148,"_")</f>
        <v>Xander</v>
      </c>
      <c r="C148" t="str">
        <v>Knight</v>
      </c>
      <c r="D148" t="s">
        <v>82</v>
      </c>
      <c r="E148" t="s">
        <v>42</v>
      </c>
      <c r="F148" t="s">
        <v>87</v>
      </c>
      <c r="G148" t="s">
        <v>324</v>
      </c>
      <c r="H148" t="s">
        <v>325</v>
      </c>
      <c r="I148" t="str">
        <f t="shared" si="18"/>
        <v>Ripley</v>
      </c>
      <c r="J148" t="str">
        <f t="shared" si="21"/>
        <v>AltoLasCondes</v>
      </c>
      <c r="K148" t="str">
        <f t="shared" si="22"/>
        <v>Visa</v>
      </c>
      <c r="L148" t="str" cm="1">
        <f t="array" ref="L148">_xlfn.IFS(J148="AltoLasCondes","MallAltoLasCondes",J148="MallPlazaEgaña","MallPlazaEgana",J148="CencoMallCostanera","CostaneraCenter", TRUE,J148)</f>
        <v>MallAltoLasCondes</v>
      </c>
      <c r="M148" t="str">
        <f t="shared" si="19"/>
        <v>Visa</v>
      </c>
    </row>
    <row r="149" spans="1:14" x14ac:dyDescent="0.2">
      <c r="A149" t="s">
        <v>215</v>
      </c>
      <c r="B149" t="str" cm="1">
        <f t="array" ref="B149:C149">_xlfn.TEXTSPLIT(A149,"_")</f>
        <v>Cole</v>
      </c>
      <c r="C149" t="str">
        <v>Bray</v>
      </c>
      <c r="D149" t="s">
        <v>71</v>
      </c>
      <c r="E149" t="s">
        <v>20</v>
      </c>
      <c r="F149" t="s">
        <v>60</v>
      </c>
      <c r="G149" t="s">
        <v>173</v>
      </c>
      <c r="H149" t="s">
        <v>326</v>
      </c>
      <c r="I149" t="str">
        <f t="shared" si="18"/>
        <v>Jumbo</v>
      </c>
      <c r="J149" t="str">
        <f t="shared" si="21"/>
        <v>MallPlazaVespucio</v>
      </c>
      <c r="K149" t="str">
        <f t="shared" si="22"/>
        <v>Debito</v>
      </c>
      <c r="L149" t="str" cm="1">
        <f t="array" ref="L149">_xlfn.IFS(J149="AltoLasCondes","MallAltoLasCondes",J149="MallPlazaEgaña","MallPlazaEgana",J149="CencoMallCostanera","CostaneraCenter", TRUE,J149)</f>
        <v>MallPlazaVespucio</v>
      </c>
      <c r="M149" t="str">
        <f t="shared" si="19"/>
        <v>Debito</v>
      </c>
    </row>
    <row r="150" spans="1:14" x14ac:dyDescent="0.2">
      <c r="A150" t="s">
        <v>70</v>
      </c>
      <c r="B150" t="str" cm="1">
        <f t="array" ref="B150:C150">_xlfn.TEXTSPLIT(A150,"_")</f>
        <v>Liora</v>
      </c>
      <c r="C150" t="str">
        <v>Pace</v>
      </c>
      <c r="D150" t="s">
        <v>63</v>
      </c>
      <c r="E150" t="s">
        <v>216</v>
      </c>
      <c r="F150" t="s">
        <v>57</v>
      </c>
      <c r="G150" t="s">
        <v>252</v>
      </c>
      <c r="H150" t="s">
        <v>327</v>
      </c>
      <c r="I150" t="str">
        <f t="shared" si="18"/>
        <v>H&amp;M</v>
      </c>
      <c r="J150" t="str">
        <f t="shared" si="21"/>
        <v>MallPlazaEgana</v>
      </c>
      <c r="K150" t="str">
        <f t="shared" si="22"/>
        <v>Efectivo</v>
      </c>
      <c r="L150" t="str" cm="1">
        <f t="array" ref="L150">_xlfn.IFS(J150="AltoLasCondes","MallAltoLasCondes",J150="MallPlazaEgaña","MallPlazaEgana",J150="CencoMallCostanera","CostaneraCenter", TRUE,J150)</f>
        <v>MallPlazaEgana</v>
      </c>
      <c r="M150" t="str">
        <f t="shared" si="19"/>
        <v>Efectivo</v>
      </c>
    </row>
    <row r="151" spans="1:14" x14ac:dyDescent="0.2">
      <c r="A151" t="s">
        <v>12</v>
      </c>
      <c r="B151" t="str" cm="1">
        <f t="array" ref="B151:C151">_xlfn.TEXTSPLIT(A151,"_")</f>
        <v>Antonia</v>
      </c>
      <c r="C151" t="str">
        <v>Prieto</v>
      </c>
      <c r="D151" t="s">
        <v>35</v>
      </c>
      <c r="E151" t="s">
        <v>25</v>
      </c>
      <c r="F151" t="s">
        <v>57</v>
      </c>
      <c r="G151" t="s">
        <v>252</v>
      </c>
      <c r="H151" t="s">
        <v>328</v>
      </c>
      <c r="I151" t="str">
        <f t="shared" si="18"/>
        <v>Easy</v>
      </c>
      <c r="J151" t="str">
        <f t="shared" si="21"/>
        <v>MallParqueArauco</v>
      </c>
      <c r="K151" t="str">
        <f t="shared" si="22"/>
        <v>Efectivo</v>
      </c>
      <c r="L151" t="str" cm="1">
        <f t="array" ref="L151">_xlfn.IFS(J151="AltoLasCondes","MallAltoLasCondes",J151="MallPlazaEgaña","MallPlazaEgana",J151="CencoMallCostanera","CostaneraCenter", TRUE,J151)</f>
        <v>MallParqueArauco</v>
      </c>
      <c r="M151" t="str">
        <f t="shared" si="19"/>
        <v>Efectivo</v>
      </c>
    </row>
    <row r="152" spans="1:14" x14ac:dyDescent="0.2">
      <c r="A152" t="s">
        <v>243</v>
      </c>
      <c r="B152" t="str" cm="1">
        <f t="array" ref="B152:C152">_xlfn.TEXTSPLIT(A152,"_")</f>
        <v>Valentina</v>
      </c>
      <c r="C152" t="str">
        <v>Soto</v>
      </c>
      <c r="D152" t="s">
        <v>295</v>
      </c>
      <c r="E152" t="s">
        <v>216</v>
      </c>
      <c r="F152" t="s">
        <v>75</v>
      </c>
      <c r="G152" t="s">
        <v>142</v>
      </c>
      <c r="H152" t="s">
        <v>329</v>
      </c>
      <c r="I152" t="str">
        <f t="shared" si="18"/>
        <v>Sodimac</v>
      </c>
      <c r="J152" t="str">
        <f t="shared" si="21"/>
        <v>MallPlazaEgana</v>
      </c>
      <c r="K152" t="str">
        <f t="shared" si="22"/>
        <v>Debito</v>
      </c>
      <c r="L152" t="str" cm="1">
        <f t="array" ref="L152">_xlfn.IFS(J152="AltoLasCondes","MallAltoLasCondes",J152="MallPlazaEgaña","MallPlazaEgana",J152="CencoMallCostanera","CostaneraCenter", TRUE,J152)</f>
        <v>MallPlazaEgana</v>
      </c>
      <c r="M152" t="str">
        <f t="shared" si="19"/>
        <v>Debito</v>
      </c>
    </row>
    <row r="153" spans="1:14" x14ac:dyDescent="0.2">
      <c r="A153" t="s">
        <v>243</v>
      </c>
      <c r="B153" t="str" cm="1">
        <f t="array" ref="B153:C153">_xlfn.TEXTSPLIT(A153,"_")</f>
        <v>Valentina</v>
      </c>
      <c r="C153" t="str">
        <v>Soto</v>
      </c>
      <c r="D153" t="s">
        <v>63</v>
      </c>
      <c r="E153" t="s">
        <v>126</v>
      </c>
      <c r="F153" t="s">
        <v>87</v>
      </c>
      <c r="G153" t="s">
        <v>181</v>
      </c>
      <c r="H153" t="s">
        <v>330</v>
      </c>
      <c r="I153" t="str">
        <f t="shared" si="18"/>
        <v>H&amp;M</v>
      </c>
      <c r="J153" t="str">
        <f t="shared" si="21"/>
        <v>MallAltoLasCondes</v>
      </c>
      <c r="K153" t="str">
        <f t="shared" si="22"/>
        <v>Visa</v>
      </c>
      <c r="L153" t="str" cm="1">
        <f t="array" ref="L153">_xlfn.IFS(J153="AltoLasCondes","MallAltoLasCondes",J153="MallPlazaEgaña","MallPlazaEgana",J153="CencoMallCostanera","CostaneraCenter", TRUE,J153)</f>
        <v>MallAltoLasCondes</v>
      </c>
      <c r="M153" t="str">
        <f t="shared" si="19"/>
        <v>Visa</v>
      </c>
    </row>
    <row r="154" spans="1:14" x14ac:dyDescent="0.2">
      <c r="A154" t="s">
        <v>18</v>
      </c>
      <c r="B154" t="str" cm="1">
        <f t="array" ref="B154:C154">_xlfn.TEXTSPLIT(A154,"_")</f>
        <v>Xander</v>
      </c>
      <c r="C154" t="str">
        <v>Knight</v>
      </c>
      <c r="D154" t="s">
        <v>78</v>
      </c>
      <c r="E154" t="s">
        <v>59</v>
      </c>
      <c r="F154" t="s">
        <v>147</v>
      </c>
      <c r="G154" t="s">
        <v>103</v>
      </c>
      <c r="H154" t="s">
        <v>331</v>
      </c>
      <c r="I154" t="str">
        <f t="shared" si="18"/>
        <v>SantaIsabel</v>
      </c>
      <c r="J154" t="str">
        <f t="shared" si="21"/>
        <v>AltoLasCondes</v>
      </c>
      <c r="K154" t="str">
        <f t="shared" si="22"/>
        <v>Americanexpress</v>
      </c>
      <c r="L154" t="str" cm="1">
        <f t="array" ref="L154">_xlfn.IFS(J154="AltoLasCondes","MallAltoLasCondes",J154="MallPlazaEgaña","MallPlazaEgana",J154="CencoMallCostanera","CostaneraCenter", TRUE,J154)</f>
        <v>MallAltoLasCondes</v>
      </c>
      <c r="M154" t="str">
        <f t="shared" si="19"/>
        <v>Americanexpress</v>
      </c>
    </row>
    <row r="155" spans="1:14" x14ac:dyDescent="0.2">
      <c r="A155" t="s">
        <v>206</v>
      </c>
      <c r="B155" t="str" cm="1">
        <f t="array" ref="B155:C155">_xlfn.TEXTSPLIT(A155,"_")</f>
        <v>Mateo</v>
      </c>
      <c r="C155" t="str">
        <v>Fuenzalida</v>
      </c>
      <c r="D155" t="s">
        <v>197</v>
      </c>
      <c r="E155" t="s">
        <v>216</v>
      </c>
      <c r="F155" t="s">
        <v>57</v>
      </c>
      <c r="G155" t="s">
        <v>332</v>
      </c>
      <c r="H155" t="s">
        <v>333</v>
      </c>
      <c r="I155" t="str">
        <f t="shared" si="18"/>
        <v>Ripley</v>
      </c>
      <c r="J155" t="str">
        <f t="shared" si="21"/>
        <v>MallPlazaEgana</v>
      </c>
      <c r="K155" t="str">
        <f t="shared" si="22"/>
        <v>Efectivo</v>
      </c>
      <c r="L155" t="str" cm="1">
        <f t="array" ref="L155">_xlfn.IFS(J155="AltoLasCondes","MallAltoLasCondes",J155="MallPlazaEgaña","MallPlazaEgana",J155="CencoMallCostanera","CostaneraCenter", TRUE,J155)</f>
        <v>MallPlazaEgana</v>
      </c>
      <c r="M155" t="str">
        <f t="shared" si="19"/>
        <v>Efectivo</v>
      </c>
    </row>
    <row r="156" spans="1:14" x14ac:dyDescent="0.2">
      <c r="A156" t="s">
        <v>105</v>
      </c>
      <c r="B156" t="str" cm="1">
        <f t="array" ref="B156:C156">_xlfn.TEXTSPLIT(A156,"_")</f>
        <v>Camila</v>
      </c>
      <c r="C156" t="str">
        <v>Errázuriz</v>
      </c>
      <c r="D156" t="s">
        <v>82</v>
      </c>
      <c r="E156" t="s">
        <v>67</v>
      </c>
      <c r="F156" t="s">
        <v>130</v>
      </c>
      <c r="G156" t="s">
        <v>226</v>
      </c>
      <c r="H156" t="s">
        <v>334</v>
      </c>
      <c r="I156" t="str">
        <f t="shared" si="18"/>
        <v>Ripley</v>
      </c>
      <c r="J156" t="str">
        <f t="shared" si="21"/>
        <v>CencoMallCostanera</v>
      </c>
      <c r="K156" t="str">
        <f t="shared" si="22"/>
        <v>MasterCard</v>
      </c>
      <c r="L156" t="str" cm="1">
        <f t="array" ref="L156">_xlfn.IFS(J156="AltoLasCondes","MallAltoLasCondes",J156="MallPlazaEgaña","MallPlazaEgana",J156="CencoMallCostanera","CostaneraCenter", TRUE,J156)</f>
        <v>CostaneraCenter</v>
      </c>
      <c r="M156" t="str">
        <f t="shared" si="19"/>
        <v>MasterCard</v>
      </c>
      <c r="N156" t="str">
        <f t="shared" ref="N156:N157" si="23">LEFT(H156,3)</f>
        <v>AUX</v>
      </c>
    </row>
    <row r="157" spans="1:14" x14ac:dyDescent="0.2">
      <c r="A157" t="s">
        <v>89</v>
      </c>
      <c r="B157" t="str" cm="1">
        <f t="array" ref="B157:C157">_xlfn.TEXTSPLIT(A157,"_")</f>
        <v>Seraphina</v>
      </c>
      <c r="C157" t="str">
        <v>Moon</v>
      </c>
      <c r="D157" t="s">
        <v>35</v>
      </c>
      <c r="E157" t="s">
        <v>83</v>
      </c>
      <c r="F157" t="s">
        <v>147</v>
      </c>
      <c r="G157" t="s">
        <v>307</v>
      </c>
      <c r="H157" t="s">
        <v>335</v>
      </c>
      <c r="I157" t="str">
        <f t="shared" si="18"/>
        <v>Easy</v>
      </c>
      <c r="J157" t="str">
        <f t="shared" si="21"/>
        <v>MallplazaEgaña</v>
      </c>
      <c r="K157" t="str">
        <f t="shared" si="22"/>
        <v>Americanexpress</v>
      </c>
      <c r="L157" t="str" cm="1">
        <f t="array" ref="L157">_xlfn.IFS(J157="AltoLasCondes","MallAltoLasCondes",J157="MallPlazaEgaña","MallPlazaEgana",J157="CencoMallCostanera","CostaneraCenter", TRUE,J157)</f>
        <v>MallPlazaEgana</v>
      </c>
      <c r="M157" t="str">
        <f t="shared" si="19"/>
        <v>Americanexpress</v>
      </c>
      <c r="N157" t="str">
        <f t="shared" si="23"/>
        <v>AUX</v>
      </c>
    </row>
    <row r="158" spans="1:14" x14ac:dyDescent="0.2">
      <c r="A158" t="s">
        <v>18</v>
      </c>
      <c r="B158" t="str" cm="1">
        <f t="array" ref="B158:C158">_xlfn.TEXTSPLIT(A158,"_")</f>
        <v>Xander</v>
      </c>
      <c r="C158" t="str">
        <v>Knight</v>
      </c>
      <c r="D158" t="s">
        <v>102</v>
      </c>
      <c r="E158" t="s">
        <v>51</v>
      </c>
      <c r="F158" t="s">
        <v>244</v>
      </c>
      <c r="G158" t="s">
        <v>336</v>
      </c>
      <c r="H158" t="s">
        <v>337</v>
      </c>
      <c r="I158" t="str">
        <f t="shared" si="18"/>
        <v>Paris</v>
      </c>
      <c r="J158" t="str">
        <f t="shared" si="21"/>
        <v>MallplazaVespucio</v>
      </c>
      <c r="K158" t="str">
        <f t="shared" si="22"/>
        <v>Debito</v>
      </c>
      <c r="L158" t="str" cm="1">
        <f t="array" ref="L158">_xlfn.IFS(J158="AltoLasCondes","MallAltoLasCondes",J158="MallPlazaEgaña","MallPlazaEgana",J158="CencoMallCostanera","CostaneraCenter", TRUE,J158)</f>
        <v>MallplazaVespucio</v>
      </c>
      <c r="M158" t="str">
        <f t="shared" si="19"/>
        <v>Debito</v>
      </c>
    </row>
    <row r="159" spans="1:14" x14ac:dyDescent="0.2">
      <c r="A159" t="s">
        <v>114</v>
      </c>
      <c r="B159" t="str" cm="1">
        <f t="array" ref="B159:C159">_xlfn.TEXTSPLIT(A159,"_")</f>
        <v>Joaquín</v>
      </c>
      <c r="C159" t="str">
        <v>Zañartu</v>
      </c>
      <c r="D159" t="s">
        <v>96</v>
      </c>
      <c r="E159" t="s">
        <v>20</v>
      </c>
      <c r="F159" t="s">
        <v>115</v>
      </c>
      <c r="G159" t="s">
        <v>154</v>
      </c>
      <c r="H159" t="s">
        <v>338</v>
      </c>
      <c r="I159" t="str">
        <f t="shared" si="18"/>
        <v>SodimacHomecenter</v>
      </c>
      <c r="J159" t="str">
        <f t="shared" si="21"/>
        <v>MallPlazaVespucio</v>
      </c>
      <c r="K159" t="str">
        <f t="shared" si="22"/>
        <v>Visa</v>
      </c>
      <c r="L159" t="str" cm="1">
        <f t="array" ref="L159">_xlfn.IFS(J159="AltoLasCondes","MallAltoLasCondes",J159="MallPlazaEgaña","MallPlazaEgana",J159="CencoMallCostanera","CostaneraCenter", TRUE,J159)</f>
        <v>MallPlazaVespucio</v>
      </c>
      <c r="M159" t="str">
        <f t="shared" si="19"/>
        <v>Visa</v>
      </c>
    </row>
    <row r="160" spans="1:14" x14ac:dyDescent="0.2">
      <c r="A160" t="s">
        <v>24</v>
      </c>
      <c r="B160" t="str" cm="1">
        <f t="array" ref="B160:C160">_xlfn.TEXTSPLIT(A160,"_")</f>
        <v>Dante</v>
      </c>
      <c r="C160" t="str">
        <v>Morrow</v>
      </c>
      <c r="D160" t="s">
        <v>50</v>
      </c>
      <c r="E160" t="s">
        <v>20</v>
      </c>
      <c r="F160" t="s">
        <v>147</v>
      </c>
      <c r="G160" t="s">
        <v>64</v>
      </c>
      <c r="H160" t="s">
        <v>339</v>
      </c>
      <c r="I160" t="str">
        <f t="shared" si="18"/>
        <v>Easy</v>
      </c>
      <c r="J160" t="str">
        <f t="shared" si="21"/>
        <v>MallPlazaVespucio</v>
      </c>
      <c r="K160" t="str">
        <f t="shared" si="22"/>
        <v>Americanexpress</v>
      </c>
      <c r="L160" t="str" cm="1">
        <f t="array" ref="L160">_xlfn.IFS(J160="AltoLasCondes","MallAltoLasCondes",J160="MallPlazaEgaña","MallPlazaEgana",J160="CencoMallCostanera","CostaneraCenter", TRUE,J160)</f>
        <v>MallPlazaVespucio</v>
      </c>
      <c r="M160" t="str">
        <f t="shared" si="19"/>
        <v>Americanexpress</v>
      </c>
    </row>
    <row r="161" spans="1:14" x14ac:dyDescent="0.2">
      <c r="A161" t="s">
        <v>243</v>
      </c>
      <c r="B161" t="str" cm="1">
        <f t="array" ref="B161:C161">_xlfn.TEXTSPLIT(A161,"_")</f>
        <v>Valentina</v>
      </c>
      <c r="C161" t="str">
        <v>Soto</v>
      </c>
      <c r="D161" t="s">
        <v>295</v>
      </c>
      <c r="E161" t="s">
        <v>8</v>
      </c>
      <c r="F161" t="s">
        <v>134</v>
      </c>
      <c r="G161" t="s">
        <v>175</v>
      </c>
      <c r="H161" t="s">
        <v>340</v>
      </c>
      <c r="I161" t="str">
        <f t="shared" si="18"/>
        <v>Sodimac</v>
      </c>
      <c r="J161" t="str">
        <f t="shared" si="21"/>
        <v>MallPlazaVespucio</v>
      </c>
      <c r="K161" t="str">
        <f t="shared" si="22"/>
        <v>AmericanExpress</v>
      </c>
      <c r="L161" t="str" cm="1">
        <f t="array" ref="L161">_xlfn.IFS(J161="AltoLasCondes","MallAltoLasCondes",J161="MallPlazaEgaña","MallPlazaEgana",J161="CencoMallCostanera","CostaneraCenter", TRUE,J161)</f>
        <v>MallPlazaVespucio</v>
      </c>
      <c r="M161" t="str">
        <f t="shared" si="19"/>
        <v>AmericanExpress</v>
      </c>
    </row>
    <row r="162" spans="1:14" x14ac:dyDescent="0.2">
      <c r="A162" t="s">
        <v>98</v>
      </c>
      <c r="B162" t="str" cm="1">
        <f t="array" ref="B162:C162">_xlfn.TEXTSPLIT(A162,"_")</f>
        <v>Sienna</v>
      </c>
      <c r="C162" t="str">
        <v>Frost</v>
      </c>
      <c r="D162" t="s">
        <v>13</v>
      </c>
      <c r="E162" t="s">
        <v>20</v>
      </c>
      <c r="F162" t="s">
        <v>134</v>
      </c>
      <c r="G162" t="s">
        <v>37</v>
      </c>
      <c r="H162" t="s">
        <v>341</v>
      </c>
      <c r="I162" t="str">
        <f t="shared" si="18"/>
        <v>Falabella</v>
      </c>
      <c r="J162" t="str">
        <f t="shared" si="21"/>
        <v>MallPlazaVespucio</v>
      </c>
      <c r="K162" t="str">
        <f t="shared" si="22"/>
        <v>AmericanExpress</v>
      </c>
      <c r="L162" t="str" cm="1">
        <f t="array" ref="L162">_xlfn.IFS(J162="AltoLasCondes","MallAltoLasCondes",J162="MallPlazaEgaña","MallPlazaEgana",J162="CencoMallCostanera","CostaneraCenter", TRUE,J162)</f>
        <v>MallPlazaVespucio</v>
      </c>
      <c r="M162" t="str">
        <f t="shared" si="19"/>
        <v>AmericanExpress</v>
      </c>
    </row>
    <row r="163" spans="1:14" x14ac:dyDescent="0.2">
      <c r="A163" t="s">
        <v>100</v>
      </c>
      <c r="B163" t="str" cm="1">
        <f t="array" ref="B163:C163">_xlfn.TEXTSPLIT(A163,"_")</f>
        <v>Beckett</v>
      </c>
      <c r="C163" t="str">
        <v>Chase</v>
      </c>
      <c r="D163" t="s">
        <v>78</v>
      </c>
      <c r="E163" t="s">
        <v>51</v>
      </c>
      <c r="F163" t="s">
        <v>134</v>
      </c>
      <c r="G163" t="s">
        <v>150</v>
      </c>
      <c r="H163" t="s">
        <v>342</v>
      </c>
      <c r="I163" t="str">
        <f t="shared" si="18"/>
        <v>SantaIsabel</v>
      </c>
      <c r="J163" t="str">
        <f t="shared" si="21"/>
        <v>MallplazaVespucio</v>
      </c>
      <c r="K163" t="str">
        <f t="shared" si="22"/>
        <v>AmericanExpress</v>
      </c>
      <c r="L163" t="str" cm="1">
        <f t="array" ref="L163">_xlfn.IFS(J163="AltoLasCondes","MallAltoLasCondes",J163="MallPlazaEgaña","MallPlazaEgana",J163="CencoMallCostanera","CostaneraCenter", TRUE,J163)</f>
        <v>MallplazaVespucio</v>
      </c>
      <c r="M163" t="str">
        <f t="shared" si="19"/>
        <v>AmericanExpress</v>
      </c>
    </row>
    <row r="164" spans="1:14" x14ac:dyDescent="0.2">
      <c r="A164" t="s">
        <v>24</v>
      </c>
      <c r="B164" t="str" cm="1">
        <f t="array" ref="B164:C164">_xlfn.TEXTSPLIT(A164,"_")</f>
        <v>Dante</v>
      </c>
      <c r="C164" t="str">
        <v>Morrow</v>
      </c>
      <c r="D164" t="s">
        <v>295</v>
      </c>
      <c r="E164" t="s">
        <v>216</v>
      </c>
      <c r="F164" t="s">
        <v>115</v>
      </c>
      <c r="G164" t="s">
        <v>343</v>
      </c>
      <c r="H164" t="s">
        <v>344</v>
      </c>
      <c r="I164" t="str">
        <f t="shared" si="18"/>
        <v>Sodimac</v>
      </c>
      <c r="J164" t="str">
        <f t="shared" si="21"/>
        <v>MallPlazaEgana</v>
      </c>
      <c r="K164" t="str">
        <f t="shared" si="22"/>
        <v>Visa</v>
      </c>
      <c r="L164" t="str" cm="1">
        <f t="array" ref="L164">_xlfn.IFS(J164="AltoLasCondes","MallAltoLasCondes",J164="MallPlazaEgaña","MallPlazaEgana",J164="CencoMallCostanera","CostaneraCenter", TRUE,J164)</f>
        <v>MallPlazaEgana</v>
      </c>
      <c r="M164" t="str">
        <f t="shared" si="19"/>
        <v>Visa</v>
      </c>
    </row>
    <row r="165" spans="1:14" x14ac:dyDescent="0.2">
      <c r="A165" t="s">
        <v>12</v>
      </c>
      <c r="B165" t="str" cm="1">
        <f t="array" ref="B165:C165">_xlfn.TEXTSPLIT(A165,"_")</f>
        <v>Antonia</v>
      </c>
      <c r="C165" t="str">
        <v>Prieto</v>
      </c>
      <c r="D165" t="s">
        <v>82</v>
      </c>
      <c r="E165" t="s">
        <v>86</v>
      </c>
      <c r="F165" t="s">
        <v>147</v>
      </c>
      <c r="G165" t="s">
        <v>226</v>
      </c>
      <c r="H165" t="s">
        <v>345</v>
      </c>
      <c r="I165" t="str">
        <f t="shared" si="18"/>
        <v>Ripley</v>
      </c>
      <c r="J165" t="str">
        <f t="shared" si="21"/>
        <v>CencoMallCostanera</v>
      </c>
      <c r="K165" t="str">
        <f t="shared" si="22"/>
        <v>Americanexpress</v>
      </c>
      <c r="L165" t="str" cm="1">
        <f t="array" ref="L165">_xlfn.IFS(J165="AltoLasCondes","MallAltoLasCondes",J165="MallPlazaEgaña","MallPlazaEgana",J165="CencoMallCostanera","CostaneraCenter", TRUE,J165)</f>
        <v>CostaneraCenter</v>
      </c>
      <c r="M165" t="str">
        <f t="shared" si="19"/>
        <v>Americanexpress</v>
      </c>
    </row>
    <row r="166" spans="1:14" x14ac:dyDescent="0.2">
      <c r="A166" t="s">
        <v>114</v>
      </c>
      <c r="B166" t="str" cm="1">
        <f t="array" ref="B166:C166">_xlfn.TEXTSPLIT(A166,"_")</f>
        <v>Joaquín</v>
      </c>
      <c r="C166" t="str">
        <v>Zañartu</v>
      </c>
      <c r="D166" t="s">
        <v>141</v>
      </c>
      <c r="E166" t="s">
        <v>67</v>
      </c>
      <c r="F166" t="s">
        <v>75</v>
      </c>
      <c r="G166" t="s">
        <v>204</v>
      </c>
      <c r="H166" t="s">
        <v>346</v>
      </c>
      <c r="I166" t="str">
        <f t="shared" si="18"/>
        <v>Easy</v>
      </c>
      <c r="J166" t="str">
        <f t="shared" si="21"/>
        <v>CencoMallCostanera</v>
      </c>
      <c r="K166" t="str">
        <f t="shared" si="22"/>
        <v>Debito</v>
      </c>
      <c r="L166" t="str" cm="1">
        <f t="array" ref="L166">_xlfn.IFS(J166="AltoLasCondes","MallAltoLasCondes",J166="MallPlazaEgaña","MallPlazaEgana",J166="CencoMallCostanera","CostaneraCenter", TRUE,J166)</f>
        <v>CostaneraCenter</v>
      </c>
      <c r="M166" t="str">
        <f t="shared" si="19"/>
        <v>Debito</v>
      </c>
    </row>
    <row r="167" spans="1:14" x14ac:dyDescent="0.2">
      <c r="A167" t="s">
        <v>100</v>
      </c>
      <c r="B167" t="str" cm="1">
        <f t="array" ref="B167:C167">_xlfn.TEXTSPLIT(A167,"_")</f>
        <v>Beckett</v>
      </c>
      <c r="C167" t="str">
        <v>Chase</v>
      </c>
      <c r="D167" t="s">
        <v>102</v>
      </c>
      <c r="E167" t="s">
        <v>25</v>
      </c>
      <c r="F167" t="s">
        <v>26</v>
      </c>
      <c r="G167" t="s">
        <v>332</v>
      </c>
      <c r="H167" t="s">
        <v>347</v>
      </c>
      <c r="I167" t="str">
        <f t="shared" si="18"/>
        <v>Paris</v>
      </c>
      <c r="J167" t="str">
        <f t="shared" si="21"/>
        <v>MallParqueArauco</v>
      </c>
      <c r="K167" t="str">
        <f t="shared" si="22"/>
        <v>AmericanExpress</v>
      </c>
      <c r="L167" t="str" cm="1">
        <f t="array" ref="L167">_xlfn.IFS(J167="AltoLasCondes","MallAltoLasCondes",J167="MallPlazaEgaña","MallPlazaEgana",J167="CencoMallCostanera","CostaneraCenter", TRUE,J167)</f>
        <v>MallParqueArauco</v>
      </c>
      <c r="M167" t="str">
        <f t="shared" si="19"/>
        <v>AmericanExpress</v>
      </c>
    </row>
    <row r="168" spans="1:14" x14ac:dyDescent="0.2">
      <c r="A168" t="s">
        <v>34</v>
      </c>
      <c r="B168" t="str" cm="1">
        <f t="array" ref="B168:C168">_xlfn.TEXTSPLIT(A168,"_")</f>
        <v>Thaddeus</v>
      </c>
      <c r="C168" t="str">
        <v>Vance</v>
      </c>
      <c r="D168" t="s">
        <v>71</v>
      </c>
      <c r="E168" t="s">
        <v>86</v>
      </c>
      <c r="F168" t="s">
        <v>115</v>
      </c>
      <c r="G168" t="s">
        <v>291</v>
      </c>
      <c r="H168" t="s">
        <v>348</v>
      </c>
      <c r="I168" t="str">
        <f t="shared" si="18"/>
        <v>Jumbo</v>
      </c>
      <c r="J168" t="str">
        <f t="shared" si="21"/>
        <v>CencoMallCostanera</v>
      </c>
      <c r="K168" t="str">
        <f t="shared" si="22"/>
        <v>Visa</v>
      </c>
      <c r="L168" t="str" cm="1">
        <f t="array" ref="L168">_xlfn.IFS(J168="AltoLasCondes","MallAltoLasCondes",J168="MallPlazaEgaña","MallPlazaEgana",J168="CencoMallCostanera","CostaneraCenter", TRUE,J168)</f>
        <v>CostaneraCenter</v>
      </c>
      <c r="M168" t="str">
        <f t="shared" si="19"/>
        <v>Visa</v>
      </c>
    </row>
    <row r="169" spans="1:14" x14ac:dyDescent="0.2">
      <c r="A169" t="s">
        <v>41</v>
      </c>
      <c r="B169" t="str" cm="1">
        <f t="array" ref="B169:C169">_xlfn.TEXTSPLIT(A169,"_")</f>
        <v>Isidora</v>
      </c>
      <c r="C169" t="str">
        <v>Pinto</v>
      </c>
      <c r="D169" t="s">
        <v>295</v>
      </c>
      <c r="E169" t="s">
        <v>83</v>
      </c>
      <c r="F169" t="s">
        <v>147</v>
      </c>
      <c r="G169" t="s">
        <v>288</v>
      </c>
      <c r="H169" t="s">
        <v>349</v>
      </c>
      <c r="I169" t="str">
        <f t="shared" si="18"/>
        <v>Sodimac</v>
      </c>
      <c r="J169" t="str">
        <f t="shared" si="21"/>
        <v>MallplazaEgaña</v>
      </c>
      <c r="K169" t="str">
        <f t="shared" si="22"/>
        <v>Americanexpress</v>
      </c>
      <c r="L169" t="str" cm="1">
        <f t="array" ref="L169">_xlfn.IFS(J169="AltoLasCondes","MallAltoLasCondes",J169="MallPlazaEgaña","MallPlazaEgana",J169="CencoMallCostanera","CostaneraCenter", TRUE,J169)</f>
        <v>MallPlazaEgana</v>
      </c>
      <c r="M169" t="str">
        <f t="shared" si="19"/>
        <v>Americanexpress</v>
      </c>
    </row>
    <row r="170" spans="1:14" x14ac:dyDescent="0.2">
      <c r="A170" t="s">
        <v>29</v>
      </c>
      <c r="B170" t="str" cm="1">
        <f t="array" ref="B170:C170">_xlfn.TEXTSPLIT(A170,"_")</f>
        <v>Lucas</v>
      </c>
      <c r="C170" t="str">
        <v>Echeverría</v>
      </c>
      <c r="D170" t="s">
        <v>141</v>
      </c>
      <c r="E170" t="s">
        <v>126</v>
      </c>
      <c r="F170" t="s">
        <v>60</v>
      </c>
      <c r="G170" t="s">
        <v>37</v>
      </c>
      <c r="H170" t="s">
        <v>350</v>
      </c>
      <c r="I170" t="str">
        <f t="shared" si="18"/>
        <v>Easy</v>
      </c>
      <c r="J170" t="str">
        <f t="shared" si="21"/>
        <v>MallAltoLasCondes</v>
      </c>
      <c r="K170" t="str">
        <f t="shared" si="22"/>
        <v>Debito</v>
      </c>
      <c r="L170" t="str" cm="1">
        <f t="array" ref="L170">_xlfn.IFS(J170="AltoLasCondes","MallAltoLasCondes",J170="MallPlazaEgaña","MallPlazaEgana",J170="CencoMallCostanera","CostaneraCenter", TRUE,J170)</f>
        <v>MallAltoLasCondes</v>
      </c>
      <c r="M170" t="str">
        <f t="shared" si="19"/>
        <v>Debito</v>
      </c>
      <c r="N170" t="str">
        <f t="shared" ref="N170:N171" si="24">LEFT(H170,3)</f>
        <v>AUX</v>
      </c>
    </row>
    <row r="171" spans="1:14" x14ac:dyDescent="0.2">
      <c r="A171" t="s">
        <v>351</v>
      </c>
      <c r="B171" t="str" cm="1">
        <f t="array" ref="B171:C171">_xlfn.TEXTSPLIT(A171,"_")</f>
        <v>Matías</v>
      </c>
      <c r="C171" t="str">
        <v>Lira</v>
      </c>
      <c r="D171" t="s">
        <v>19</v>
      </c>
      <c r="E171" t="s">
        <v>126</v>
      </c>
      <c r="F171" t="s">
        <v>43</v>
      </c>
      <c r="G171" t="s">
        <v>103</v>
      </c>
      <c r="H171" t="s">
        <v>352</v>
      </c>
      <c r="I171" t="str">
        <f t="shared" si="18"/>
        <v>Falabella</v>
      </c>
      <c r="J171" t="str">
        <f t="shared" si="21"/>
        <v>MallAltoLasCondes</v>
      </c>
      <c r="K171" t="str">
        <f t="shared" si="22"/>
        <v>Mastercard</v>
      </c>
      <c r="L171" t="str" cm="1">
        <f t="array" ref="L171">_xlfn.IFS(J171="AltoLasCondes","MallAltoLasCondes",J171="MallPlazaEgaña","MallPlazaEgana",J171="CencoMallCostanera","CostaneraCenter", TRUE,J171)</f>
        <v>MallAltoLasCondes</v>
      </c>
      <c r="M171" t="str">
        <f t="shared" si="19"/>
        <v>Mastercard</v>
      </c>
      <c r="N171" t="str">
        <f t="shared" si="24"/>
        <v>RET</v>
      </c>
    </row>
    <row r="172" spans="1:14" x14ac:dyDescent="0.2">
      <c r="A172" t="s">
        <v>34</v>
      </c>
      <c r="B172" t="str" cm="1">
        <f t="array" ref="B172:C172">_xlfn.TEXTSPLIT(A172,"_")</f>
        <v>Thaddeus</v>
      </c>
      <c r="C172" t="str">
        <v>Vance</v>
      </c>
      <c r="D172" t="s">
        <v>190</v>
      </c>
      <c r="E172" t="s">
        <v>8</v>
      </c>
      <c r="F172" t="s">
        <v>130</v>
      </c>
      <c r="G172" t="s">
        <v>192</v>
      </c>
      <c r="H172" t="s">
        <v>353</v>
      </c>
      <c r="I172" t="str">
        <f t="shared" si="18"/>
        <v>SantaIsabel</v>
      </c>
      <c r="J172" t="str">
        <f t="shared" si="21"/>
        <v>MallPlazaVespucio</v>
      </c>
      <c r="K172" t="str">
        <f t="shared" si="22"/>
        <v>MasterCard</v>
      </c>
      <c r="L172" t="str" cm="1">
        <f t="array" ref="L172">_xlfn.IFS(J172="AltoLasCondes","MallAltoLasCondes",J172="MallPlazaEgaña","MallPlazaEgana",J172="CencoMallCostanera","CostaneraCenter", TRUE,J172)</f>
        <v>MallPlazaVespucio</v>
      </c>
      <c r="M172" t="str">
        <f t="shared" si="19"/>
        <v>MasterCard</v>
      </c>
    </row>
    <row r="173" spans="1:14" x14ac:dyDescent="0.2">
      <c r="A173" t="s">
        <v>114</v>
      </c>
      <c r="B173" t="str" cm="1">
        <f t="array" ref="B173:C173">_xlfn.TEXTSPLIT(A173,"_")</f>
        <v>Joaquín</v>
      </c>
      <c r="C173" t="str">
        <v>Zañartu</v>
      </c>
      <c r="D173" t="s">
        <v>82</v>
      </c>
      <c r="E173" t="s">
        <v>83</v>
      </c>
      <c r="F173" t="s">
        <v>115</v>
      </c>
      <c r="G173" t="s">
        <v>213</v>
      </c>
      <c r="H173" t="s">
        <v>354</v>
      </c>
      <c r="I173" t="str">
        <f t="shared" si="18"/>
        <v>Ripley</v>
      </c>
      <c r="J173" t="str">
        <f t="shared" si="21"/>
        <v>MallplazaEgaña</v>
      </c>
      <c r="K173" t="str">
        <f t="shared" si="22"/>
        <v>Visa</v>
      </c>
      <c r="L173" t="str" cm="1">
        <f t="array" ref="L173">_xlfn.IFS(J173="AltoLasCondes","MallAltoLasCondes",J173="MallPlazaEgaña","MallPlazaEgana",J173="CencoMallCostanera","CostaneraCenter", TRUE,J173)</f>
        <v>MallPlazaEgana</v>
      </c>
      <c r="M173" t="str">
        <f t="shared" si="19"/>
        <v>Visa</v>
      </c>
    </row>
    <row r="174" spans="1:14" x14ac:dyDescent="0.2">
      <c r="A174" t="s">
        <v>105</v>
      </c>
      <c r="B174" t="str" cm="1">
        <f t="array" ref="B174:C174">_xlfn.TEXTSPLIT(A174,"_")</f>
        <v>Camila</v>
      </c>
      <c r="C174" t="str">
        <v>Errázuriz</v>
      </c>
      <c r="D174" t="s">
        <v>167</v>
      </c>
      <c r="E174" t="s">
        <v>83</v>
      </c>
      <c r="F174" t="s">
        <v>134</v>
      </c>
      <c r="G174" t="s">
        <v>355</v>
      </c>
      <c r="H174" t="s">
        <v>356</v>
      </c>
      <c r="I174" t="str">
        <f t="shared" si="18"/>
        <v>Jumbo</v>
      </c>
      <c r="J174" t="str">
        <f t="shared" si="21"/>
        <v>MallplazaEgaña</v>
      </c>
      <c r="K174" t="str">
        <f t="shared" si="22"/>
        <v>AmericanExpress</v>
      </c>
      <c r="L174" t="str" cm="1">
        <f t="array" ref="L174">_xlfn.IFS(J174="AltoLasCondes","MallAltoLasCondes",J174="MallPlazaEgaña","MallPlazaEgana",J174="CencoMallCostanera","CostaneraCenter", TRUE,J174)</f>
        <v>MallPlazaEgana</v>
      </c>
      <c r="M174" t="str">
        <f t="shared" si="19"/>
        <v>AmericanExpress</v>
      </c>
    </row>
    <row r="175" spans="1:14" x14ac:dyDescent="0.2">
      <c r="A175" t="s">
        <v>18</v>
      </c>
      <c r="B175" t="str" cm="1">
        <f t="array" ref="B175:C175">_xlfn.TEXTSPLIT(A175,"_")</f>
        <v>Xander</v>
      </c>
      <c r="C175" t="str">
        <v>Knight</v>
      </c>
      <c r="D175" t="s">
        <v>35</v>
      </c>
      <c r="E175" t="s">
        <v>121</v>
      </c>
      <c r="F175" t="s">
        <v>43</v>
      </c>
      <c r="G175" t="s">
        <v>357</v>
      </c>
      <c r="H175" t="s">
        <v>358</v>
      </c>
      <c r="I175" t="str">
        <f t="shared" si="18"/>
        <v>Easy</v>
      </c>
      <c r="J175" t="str">
        <f t="shared" si="21"/>
        <v>CostaneraCenter</v>
      </c>
      <c r="K175" t="str">
        <f t="shared" si="22"/>
        <v>Mastercard</v>
      </c>
      <c r="L175" t="str" cm="1">
        <f t="array" ref="L175">_xlfn.IFS(J175="AltoLasCondes","MallAltoLasCondes",J175="MallPlazaEgaña","MallPlazaEgana",J175="CencoMallCostanera","CostaneraCenter", TRUE,J175)</f>
        <v>CostaneraCenter</v>
      </c>
      <c r="M175" t="str">
        <f t="shared" si="19"/>
        <v>Mastercard</v>
      </c>
    </row>
    <row r="176" spans="1:14" x14ac:dyDescent="0.2">
      <c r="A176" t="s">
        <v>114</v>
      </c>
      <c r="B176" t="str" cm="1">
        <f t="array" ref="B176:C176">_xlfn.TEXTSPLIT(A176,"_")</f>
        <v>Joaquín</v>
      </c>
      <c r="C176" t="str">
        <v>Zañartu</v>
      </c>
      <c r="D176" t="s">
        <v>56</v>
      </c>
      <c r="E176" t="s">
        <v>8</v>
      </c>
      <c r="F176" t="s">
        <v>130</v>
      </c>
      <c r="G176" t="s">
        <v>359</v>
      </c>
      <c r="H176" t="s">
        <v>360</v>
      </c>
      <c r="I176" t="str">
        <f t="shared" si="18"/>
        <v>París</v>
      </c>
      <c r="J176" t="str">
        <f t="shared" si="21"/>
        <v>MallPlazaVespucio</v>
      </c>
      <c r="K176" t="str">
        <f t="shared" si="22"/>
        <v>MasterCard</v>
      </c>
      <c r="L176" t="str" cm="1">
        <f t="array" ref="L176">_xlfn.IFS(J176="AltoLasCondes","MallAltoLasCondes",J176="MallPlazaEgaña","MallPlazaEgana",J176="CencoMallCostanera","CostaneraCenter", TRUE,J176)</f>
        <v>MallPlazaVespucio</v>
      </c>
      <c r="M176" t="str">
        <f t="shared" si="19"/>
        <v>MasterCard</v>
      </c>
    </row>
    <row r="177" spans="1:14" x14ac:dyDescent="0.2">
      <c r="A177" t="s">
        <v>89</v>
      </c>
      <c r="B177" t="str" cm="1">
        <f t="array" ref="B177:C177">_xlfn.TEXTSPLIT(A177,"_")</f>
        <v>Seraphina</v>
      </c>
      <c r="C177" t="str">
        <v>Moon</v>
      </c>
      <c r="D177" t="s">
        <v>197</v>
      </c>
      <c r="E177" t="s">
        <v>79</v>
      </c>
      <c r="F177" t="s">
        <v>52</v>
      </c>
      <c r="G177" t="s">
        <v>168</v>
      </c>
      <c r="H177" t="s">
        <v>361</v>
      </c>
      <c r="I177" t="str">
        <f t="shared" si="18"/>
        <v>Ripley</v>
      </c>
      <c r="J177" t="str">
        <f t="shared" si="21"/>
        <v>ParqueArauco</v>
      </c>
      <c r="K177" t="str">
        <f t="shared" si="22"/>
        <v>Visa</v>
      </c>
      <c r="L177" t="str" cm="1">
        <f t="array" ref="L177">_xlfn.IFS(J177="AltoLasCondes","MallAltoLasCondes",J177="MallPlazaEgaña","MallPlazaEgana",J177="CencoMallCostanera","CostaneraCenter", TRUE,J177)</f>
        <v>ParqueArauco</v>
      </c>
      <c r="M177" t="str">
        <f t="shared" si="19"/>
        <v>Visa</v>
      </c>
    </row>
    <row r="178" spans="1:14" x14ac:dyDescent="0.2">
      <c r="A178" t="s">
        <v>140</v>
      </c>
      <c r="B178" t="str" cm="1">
        <f t="array" ref="B178:C178">_xlfn.TEXTSPLIT(A178,"_")</f>
        <v>Benjamín</v>
      </c>
      <c r="C178" t="str">
        <v>Vargas</v>
      </c>
      <c r="D178" t="s">
        <v>82</v>
      </c>
      <c r="E178" t="s">
        <v>86</v>
      </c>
      <c r="F178" t="s">
        <v>156</v>
      </c>
      <c r="G178" t="s">
        <v>138</v>
      </c>
      <c r="H178" t="s">
        <v>362</v>
      </c>
      <c r="I178" t="str">
        <f t="shared" si="18"/>
        <v>Ripley</v>
      </c>
      <c r="J178" t="str">
        <f t="shared" si="21"/>
        <v>CencoMallCostanera</v>
      </c>
      <c r="K178" t="str">
        <f t="shared" si="22"/>
        <v>Débito</v>
      </c>
      <c r="L178" t="str" cm="1">
        <f t="array" ref="L178">_xlfn.IFS(J178="AltoLasCondes","MallAltoLasCondes",J178="MallPlazaEgaña","MallPlazaEgana",J178="CencoMallCostanera","CostaneraCenter", TRUE,J178)</f>
        <v>CostaneraCenter</v>
      </c>
      <c r="M178" t="str">
        <f t="shared" si="19"/>
        <v>Debito</v>
      </c>
    </row>
    <row r="179" spans="1:14" x14ac:dyDescent="0.2">
      <c r="A179" t="s">
        <v>55</v>
      </c>
      <c r="B179" t="str" cm="1">
        <f t="array" ref="B179:C179">_xlfn.TEXTSPLIT(A179,"_")</f>
        <v>Nicolás</v>
      </c>
      <c r="C179" t="str">
        <v>Olea</v>
      </c>
      <c r="D179" t="s">
        <v>63</v>
      </c>
      <c r="E179" t="s">
        <v>67</v>
      </c>
      <c r="F179" t="s">
        <v>52</v>
      </c>
      <c r="G179" t="s">
        <v>307</v>
      </c>
      <c r="H179" t="s">
        <v>363</v>
      </c>
      <c r="I179" t="str">
        <f t="shared" si="18"/>
        <v>H&amp;M</v>
      </c>
      <c r="J179" t="str">
        <f t="shared" si="21"/>
        <v>CencoMallCostanera</v>
      </c>
      <c r="K179" t="str">
        <f t="shared" si="22"/>
        <v>Visa</v>
      </c>
      <c r="L179" t="str" cm="1">
        <f t="array" ref="L179">_xlfn.IFS(J179="AltoLasCondes","MallAltoLasCondes",J179="MallPlazaEgaña","MallPlazaEgana",J179="CencoMallCostanera","CostaneraCenter", TRUE,J179)</f>
        <v>CostaneraCenter</v>
      </c>
      <c r="M179" t="str">
        <f t="shared" si="19"/>
        <v>Visa</v>
      </c>
    </row>
    <row r="180" spans="1:14" x14ac:dyDescent="0.2">
      <c r="A180" t="s">
        <v>206</v>
      </c>
      <c r="B180" t="str" cm="1">
        <f t="array" ref="B180:C180">_xlfn.TEXTSPLIT(A180,"_")</f>
        <v>Mateo</v>
      </c>
      <c r="C180" t="str">
        <v>Fuenzalida</v>
      </c>
      <c r="D180" t="s">
        <v>46</v>
      </c>
      <c r="E180" t="s">
        <v>59</v>
      </c>
      <c r="F180" t="s">
        <v>36</v>
      </c>
      <c r="G180" t="s">
        <v>154</v>
      </c>
      <c r="H180" t="s">
        <v>364</v>
      </c>
      <c r="I180" t="str">
        <f t="shared" si="18"/>
        <v>Easy</v>
      </c>
      <c r="J180" t="str">
        <f t="shared" si="21"/>
        <v>AltoLasCondes</v>
      </c>
      <c r="K180" t="str">
        <f t="shared" si="22"/>
        <v>MasterCard</v>
      </c>
      <c r="L180" t="str" cm="1">
        <f t="array" ref="L180">_xlfn.IFS(J180="AltoLasCondes","MallAltoLasCondes",J180="MallPlazaEgaña","MallPlazaEgana",J180="CencoMallCostanera","CostaneraCenter", TRUE,J180)</f>
        <v>MallAltoLasCondes</v>
      </c>
      <c r="M180" t="str">
        <f t="shared" si="19"/>
        <v>MasterCard</v>
      </c>
    </row>
    <row r="181" spans="1:14" x14ac:dyDescent="0.2">
      <c r="A181" t="s">
        <v>49</v>
      </c>
      <c r="B181" t="str" cm="1">
        <f t="array" ref="B181:C181">_xlfn.TEXTSPLIT(A181,"_")</f>
        <v>Talia</v>
      </c>
      <c r="C181" t="str">
        <v>Cuevas</v>
      </c>
      <c r="D181" t="s">
        <v>120</v>
      </c>
      <c r="E181" t="s">
        <v>83</v>
      </c>
      <c r="F181" t="s">
        <v>92</v>
      </c>
      <c r="G181" t="s">
        <v>365</v>
      </c>
      <c r="H181" t="s">
        <v>366</v>
      </c>
      <c r="I181" t="str">
        <f t="shared" si="18"/>
        <v>Paris</v>
      </c>
      <c r="J181" t="str">
        <f t="shared" si="21"/>
        <v>MallplazaEgaña</v>
      </c>
      <c r="K181" t="str">
        <f t="shared" si="22"/>
        <v>Efectivo</v>
      </c>
      <c r="L181" t="str" cm="1">
        <f t="array" ref="L181">_xlfn.IFS(J181="AltoLasCondes","MallAltoLasCondes",J181="MallPlazaEgaña","MallPlazaEgana",J181="CencoMallCostanera","CostaneraCenter", TRUE,J181)</f>
        <v>MallPlazaEgana</v>
      </c>
      <c r="M181" t="str">
        <f t="shared" si="19"/>
        <v>Efectivo</v>
      </c>
    </row>
    <row r="182" spans="1:14" x14ac:dyDescent="0.2">
      <c r="A182" t="s">
        <v>162</v>
      </c>
      <c r="B182" t="str" cm="1">
        <f t="array" ref="B182:C182">_xlfn.TEXTSPLIT(A182,"_")</f>
        <v>Elaina</v>
      </c>
      <c r="C182" t="str">
        <v>Giles</v>
      </c>
      <c r="D182" t="s">
        <v>50</v>
      </c>
      <c r="E182" t="s">
        <v>51</v>
      </c>
      <c r="F182" t="s">
        <v>130</v>
      </c>
      <c r="G182" t="s">
        <v>367</v>
      </c>
      <c r="H182" t="s">
        <v>368</v>
      </c>
      <c r="I182" t="str">
        <f t="shared" si="18"/>
        <v>Easy</v>
      </c>
      <c r="J182" t="str">
        <f t="shared" si="21"/>
        <v>MallplazaVespucio</v>
      </c>
      <c r="K182" t="str">
        <f t="shared" si="22"/>
        <v>MasterCard</v>
      </c>
      <c r="L182" t="str" cm="1">
        <f t="array" ref="L182">_xlfn.IFS(J182="AltoLasCondes","MallAltoLasCondes",J182="MallPlazaEgaña","MallPlazaEgana",J182="CencoMallCostanera","CostaneraCenter", TRUE,J182)</f>
        <v>MallplazaVespucio</v>
      </c>
      <c r="M182" t="str">
        <f t="shared" si="19"/>
        <v>MasterCard</v>
      </c>
    </row>
    <row r="183" spans="1:14" x14ac:dyDescent="0.2">
      <c r="A183" t="s">
        <v>34</v>
      </c>
      <c r="B183" t="str" cm="1">
        <f t="array" ref="B183:C183">_xlfn.TEXTSPLIT(A183,"_")</f>
        <v>Thaddeus</v>
      </c>
      <c r="C183" t="str">
        <v>Vance</v>
      </c>
      <c r="D183" t="s">
        <v>90</v>
      </c>
      <c r="E183" t="s">
        <v>31</v>
      </c>
      <c r="F183" t="s">
        <v>26</v>
      </c>
      <c r="G183" t="s">
        <v>332</v>
      </c>
      <c r="H183" t="s">
        <v>369</v>
      </c>
      <c r="I183" t="str">
        <f t="shared" si="18"/>
        <v>Paris</v>
      </c>
      <c r="J183" t="str">
        <f t="shared" si="21"/>
        <v>ParqueArauco</v>
      </c>
      <c r="K183" t="str">
        <f t="shared" si="22"/>
        <v>AmericanExpress</v>
      </c>
      <c r="L183" t="str" cm="1">
        <f t="array" ref="L183">_xlfn.IFS(J183="AltoLasCondes","MallAltoLasCondes",J183="MallPlazaEgaña","MallPlazaEgana",J183="CencoMallCostanera","CostaneraCenter", TRUE,J183)</f>
        <v>ParqueArauco</v>
      </c>
      <c r="M183" t="str">
        <f t="shared" si="19"/>
        <v>AmericanExpress</v>
      </c>
    </row>
    <row r="184" spans="1:14" x14ac:dyDescent="0.2">
      <c r="A184" t="s">
        <v>105</v>
      </c>
      <c r="B184" t="str" cm="1">
        <f t="array" ref="B184:C184">_xlfn.TEXTSPLIT(A184,"_")</f>
        <v>Camila</v>
      </c>
      <c r="C184" t="str">
        <v>Errázuriz</v>
      </c>
      <c r="D184" t="s">
        <v>125</v>
      </c>
      <c r="E184" t="s">
        <v>59</v>
      </c>
      <c r="F184" t="s">
        <v>92</v>
      </c>
      <c r="G184" t="s">
        <v>61</v>
      </c>
      <c r="H184" t="s">
        <v>370</v>
      </c>
      <c r="I184" t="str">
        <f t="shared" si="18"/>
        <v>Ripley</v>
      </c>
      <c r="J184" t="str">
        <f t="shared" si="21"/>
        <v>AltoLasCondes</v>
      </c>
      <c r="K184" t="str">
        <f t="shared" si="22"/>
        <v>Efectivo</v>
      </c>
      <c r="L184" t="str" cm="1">
        <f t="array" ref="L184">_xlfn.IFS(J184="AltoLasCondes","MallAltoLasCondes",J184="MallPlazaEgaña","MallPlazaEgana",J184="CencoMallCostanera","CostaneraCenter", TRUE,J184)</f>
        <v>MallAltoLasCondes</v>
      </c>
      <c r="M184" t="str">
        <f t="shared" si="19"/>
        <v>Efectivo</v>
      </c>
      <c r="N184" t="str">
        <f t="shared" ref="N184:N185" si="25">LEFT(H184,3)</f>
        <v>AUX</v>
      </c>
    </row>
    <row r="185" spans="1:14" x14ac:dyDescent="0.2">
      <c r="A185" t="s">
        <v>34</v>
      </c>
      <c r="B185" t="str" cm="1">
        <f t="array" ref="B185:C185">_xlfn.TEXTSPLIT(A185,"_")</f>
        <v>Thaddeus</v>
      </c>
      <c r="C185" t="str">
        <v>Vance</v>
      </c>
      <c r="D185" t="s">
        <v>141</v>
      </c>
      <c r="E185" t="s">
        <v>216</v>
      </c>
      <c r="F185" t="s">
        <v>75</v>
      </c>
      <c r="G185" t="s">
        <v>371</v>
      </c>
      <c r="H185" t="s">
        <v>372</v>
      </c>
      <c r="I185" t="str">
        <f t="shared" si="18"/>
        <v>Easy</v>
      </c>
      <c r="J185" t="str">
        <f t="shared" si="21"/>
        <v>MallPlazaEgana</v>
      </c>
      <c r="K185" t="str">
        <f t="shared" si="22"/>
        <v>Debito</v>
      </c>
      <c r="L185" t="str" cm="1">
        <f t="array" ref="L185">_xlfn.IFS(J185="AltoLasCondes","MallAltoLasCondes",J185="MallPlazaEgaña","MallPlazaEgana",J185="CencoMallCostanera","CostaneraCenter", TRUE,J185)</f>
        <v>MallPlazaEgana</v>
      </c>
      <c r="M185" t="str">
        <f t="shared" si="19"/>
        <v>Debito</v>
      </c>
      <c r="N185" t="str">
        <f t="shared" si="25"/>
        <v>RET</v>
      </c>
    </row>
    <row r="186" spans="1:14" x14ac:dyDescent="0.2">
      <c r="A186" t="s">
        <v>351</v>
      </c>
      <c r="B186" t="str" cm="1">
        <f t="array" ref="B186:C186">_xlfn.TEXTSPLIT(A186,"_")</f>
        <v>Matías</v>
      </c>
      <c r="C186" t="str">
        <v>Lira</v>
      </c>
      <c r="D186" t="s">
        <v>190</v>
      </c>
      <c r="E186" t="s">
        <v>31</v>
      </c>
      <c r="F186" t="s">
        <v>130</v>
      </c>
      <c r="G186" t="s">
        <v>268</v>
      </c>
      <c r="H186" t="s">
        <v>373</v>
      </c>
      <c r="I186" t="str">
        <f t="shared" si="18"/>
        <v>SantaIsabel</v>
      </c>
      <c r="J186" t="str">
        <f t="shared" si="21"/>
        <v>ParqueArauco</v>
      </c>
      <c r="K186" t="str">
        <f t="shared" si="22"/>
        <v>MasterCard</v>
      </c>
      <c r="L186" t="str" cm="1">
        <f t="array" ref="L186">_xlfn.IFS(J186="AltoLasCondes","MallAltoLasCondes",J186="MallPlazaEgaña","MallPlazaEgana",J186="CencoMallCostanera","CostaneraCenter", TRUE,J186)</f>
        <v>ParqueArauco</v>
      </c>
      <c r="M186" t="str">
        <f t="shared" si="19"/>
        <v>MasterCard</v>
      </c>
    </row>
    <row r="187" spans="1:14" x14ac:dyDescent="0.2">
      <c r="A187" t="s">
        <v>24</v>
      </c>
      <c r="B187" t="str" cm="1">
        <f t="array" ref="B187:C187">_xlfn.TEXTSPLIT(A187,"_")</f>
        <v>Dante</v>
      </c>
      <c r="C187" t="str">
        <v>Morrow</v>
      </c>
      <c r="D187" t="s">
        <v>56</v>
      </c>
      <c r="E187" t="s">
        <v>59</v>
      </c>
      <c r="F187" t="s">
        <v>57</v>
      </c>
      <c r="G187" t="s">
        <v>202</v>
      </c>
      <c r="H187" t="s">
        <v>374</v>
      </c>
      <c r="I187" t="str">
        <f t="shared" si="18"/>
        <v>París</v>
      </c>
      <c r="J187" t="str">
        <f t="shared" si="21"/>
        <v>AltoLasCondes</v>
      </c>
      <c r="K187" t="str">
        <f t="shared" si="22"/>
        <v>Efectivo</v>
      </c>
      <c r="L187" t="str" cm="1">
        <f t="array" ref="L187">_xlfn.IFS(J187="AltoLasCondes","MallAltoLasCondes",J187="MallPlazaEgaña","MallPlazaEgana",J187="CencoMallCostanera","CostaneraCenter", TRUE,J187)</f>
        <v>MallAltoLasCondes</v>
      </c>
      <c r="M187" t="str">
        <f t="shared" si="19"/>
        <v>Efectivo</v>
      </c>
    </row>
    <row r="188" spans="1:14" x14ac:dyDescent="0.2">
      <c r="A188" t="s">
        <v>172</v>
      </c>
      <c r="B188" t="str" cm="1">
        <f t="array" ref="B188:C188">_xlfn.TEXTSPLIT(A188,"_")</f>
        <v>Mila</v>
      </c>
      <c r="C188" t="str">
        <v>Rivers</v>
      </c>
      <c r="D188" t="s">
        <v>35</v>
      </c>
      <c r="E188" t="s">
        <v>8</v>
      </c>
      <c r="F188" t="s">
        <v>43</v>
      </c>
      <c r="G188" t="s">
        <v>184</v>
      </c>
      <c r="H188" t="s">
        <v>375</v>
      </c>
      <c r="I188" t="str">
        <f t="shared" si="18"/>
        <v>Easy</v>
      </c>
      <c r="J188" t="str">
        <f t="shared" si="21"/>
        <v>MallPlazaVespucio</v>
      </c>
      <c r="K188" t="str">
        <f t="shared" si="22"/>
        <v>Mastercard</v>
      </c>
      <c r="L188" t="str" cm="1">
        <f t="array" ref="L188">_xlfn.IFS(J188="AltoLasCondes","MallAltoLasCondes",J188="MallPlazaEgaña","MallPlazaEgana",J188="CencoMallCostanera","CostaneraCenter", TRUE,J188)</f>
        <v>MallPlazaVespucio</v>
      </c>
      <c r="M188" t="str">
        <f t="shared" si="19"/>
        <v>Mastercard</v>
      </c>
    </row>
    <row r="189" spans="1:14" x14ac:dyDescent="0.2">
      <c r="A189" t="s">
        <v>100</v>
      </c>
      <c r="B189" t="str" cm="1">
        <f t="array" ref="B189:C189">_xlfn.TEXTSPLIT(A189,"_")</f>
        <v>Beckett</v>
      </c>
      <c r="C189" t="str">
        <v>Chase</v>
      </c>
      <c r="D189" t="s">
        <v>78</v>
      </c>
      <c r="E189" t="s">
        <v>83</v>
      </c>
      <c r="F189" t="s">
        <v>87</v>
      </c>
      <c r="G189" t="s">
        <v>177</v>
      </c>
      <c r="H189" t="s">
        <v>376</v>
      </c>
      <c r="I189" t="str">
        <f t="shared" si="18"/>
        <v>SantaIsabel</v>
      </c>
      <c r="J189" t="str">
        <f t="shared" si="21"/>
        <v>MallplazaEgaña</v>
      </c>
      <c r="K189" t="str">
        <f t="shared" si="22"/>
        <v>Visa</v>
      </c>
      <c r="L189" t="str" cm="1">
        <f t="array" ref="L189">_xlfn.IFS(J189="AltoLasCondes","MallAltoLasCondes",J189="MallPlazaEgaña","MallPlazaEgana",J189="CencoMallCostanera","CostaneraCenter", TRUE,J189)</f>
        <v>MallPlazaEgana</v>
      </c>
      <c r="M189" t="str">
        <f t="shared" si="19"/>
        <v>Visa</v>
      </c>
    </row>
    <row r="190" spans="1:14" x14ac:dyDescent="0.2">
      <c r="A190" t="s">
        <v>159</v>
      </c>
      <c r="B190" t="str" cm="1">
        <f t="array" ref="B190:C190">_xlfn.TEXTSPLIT(A190,"_")</f>
        <v>Tomás</v>
      </c>
      <c r="C190" t="str">
        <v>Guzmán</v>
      </c>
      <c r="D190" t="s">
        <v>13</v>
      </c>
      <c r="E190" t="s">
        <v>14</v>
      </c>
      <c r="F190" t="s">
        <v>26</v>
      </c>
      <c r="G190" t="s">
        <v>377</v>
      </c>
      <c r="H190" t="s">
        <v>378</v>
      </c>
      <c r="I190" t="str">
        <f t="shared" si="18"/>
        <v>Falabella</v>
      </c>
      <c r="J190" t="str">
        <f t="shared" si="21"/>
        <v>MallPlazaEgaña</v>
      </c>
      <c r="K190" t="str">
        <f t="shared" si="22"/>
        <v>AmericanExpress</v>
      </c>
      <c r="L190" t="str" cm="1">
        <f t="array" ref="L190">_xlfn.IFS(J190="AltoLasCondes","MallAltoLasCondes",J190="MallPlazaEgaña","MallPlazaEgana",J190="CencoMallCostanera","CostaneraCenter", TRUE,J190)</f>
        <v>MallPlazaEgana</v>
      </c>
      <c r="M190" t="str">
        <f t="shared" si="19"/>
        <v>AmericanExpress</v>
      </c>
    </row>
    <row r="191" spans="1:14" x14ac:dyDescent="0.2">
      <c r="A191" t="s">
        <v>66</v>
      </c>
      <c r="B191" t="str" cm="1">
        <f t="array" ref="B191:C191">_xlfn.TEXTSPLIT(A191,"_")</f>
        <v>Priscilia</v>
      </c>
      <c r="C191" t="str">
        <v>Welch</v>
      </c>
      <c r="D191" t="s">
        <v>19</v>
      </c>
      <c r="E191" t="s">
        <v>126</v>
      </c>
      <c r="F191" t="s">
        <v>26</v>
      </c>
      <c r="G191" t="s">
        <v>379</v>
      </c>
      <c r="H191" t="s">
        <v>380</v>
      </c>
      <c r="I191" t="str">
        <f t="shared" si="18"/>
        <v>Falabella</v>
      </c>
      <c r="J191" t="str">
        <f t="shared" si="21"/>
        <v>MallAltoLasCondes</v>
      </c>
      <c r="K191" t="str">
        <f t="shared" si="22"/>
        <v>AmericanExpress</v>
      </c>
      <c r="L191" t="str" cm="1">
        <f t="array" ref="L191">_xlfn.IFS(J191="AltoLasCondes","MallAltoLasCondes",J191="MallPlazaEgaña","MallPlazaEgana",J191="CencoMallCostanera","CostaneraCenter", TRUE,J191)</f>
        <v>MallAltoLasCondes</v>
      </c>
      <c r="M191" t="str">
        <f t="shared" si="19"/>
        <v>AmericanExpress</v>
      </c>
    </row>
    <row r="192" spans="1:14" x14ac:dyDescent="0.2">
      <c r="A192" t="s">
        <v>29</v>
      </c>
      <c r="B192" t="str" cm="1">
        <f t="array" ref="B192:C192">_xlfn.TEXTSPLIT(A192,"_")</f>
        <v>Lucas</v>
      </c>
      <c r="C192" t="str">
        <v>Echeverría</v>
      </c>
      <c r="D192" t="s">
        <v>19</v>
      </c>
      <c r="E192" t="s">
        <v>51</v>
      </c>
      <c r="F192" t="s">
        <v>87</v>
      </c>
      <c r="G192" t="s">
        <v>220</v>
      </c>
      <c r="H192" t="s">
        <v>381</v>
      </c>
      <c r="I192" t="str">
        <f t="shared" si="18"/>
        <v>Falabella</v>
      </c>
      <c r="J192" t="str">
        <f t="shared" si="21"/>
        <v>MallplazaVespucio</v>
      </c>
      <c r="K192" t="str">
        <f t="shared" si="22"/>
        <v>Visa</v>
      </c>
      <c r="L192" t="str" cm="1">
        <f t="array" ref="L192">_xlfn.IFS(J192="AltoLasCondes","MallAltoLasCondes",J192="MallPlazaEgaña","MallPlazaEgana",J192="CencoMallCostanera","CostaneraCenter", TRUE,J192)</f>
        <v>MallplazaVespucio</v>
      </c>
      <c r="M192" t="str">
        <f t="shared" si="19"/>
        <v>Visa</v>
      </c>
    </row>
    <row r="193" spans="1:14" x14ac:dyDescent="0.2">
      <c r="A193" t="s">
        <v>34</v>
      </c>
      <c r="B193" t="str" cm="1">
        <f t="array" ref="B193:C193">_xlfn.TEXTSPLIT(A193,"_")</f>
        <v>Thaddeus</v>
      </c>
      <c r="C193" t="str">
        <v>Vance</v>
      </c>
      <c r="D193" t="s">
        <v>74</v>
      </c>
      <c r="E193" t="s">
        <v>42</v>
      </c>
      <c r="F193" t="s">
        <v>9</v>
      </c>
      <c r="G193" t="s">
        <v>170</v>
      </c>
      <c r="H193" t="s">
        <v>382</v>
      </c>
      <c r="I193" t="str">
        <f t="shared" si="18"/>
        <v>Jumbo</v>
      </c>
      <c r="J193" t="str">
        <f t="shared" si="21"/>
        <v>AltoLasCondes</v>
      </c>
      <c r="K193" t="str">
        <f t="shared" si="22"/>
        <v>Efectivo</v>
      </c>
      <c r="L193" t="str" cm="1">
        <f t="array" ref="L193">_xlfn.IFS(J193="AltoLasCondes","MallAltoLasCondes",J193="MallPlazaEgaña","MallPlazaEgana",J193="CencoMallCostanera","CostaneraCenter", TRUE,J193)</f>
        <v>MallAltoLasCondes</v>
      </c>
      <c r="M193" t="str">
        <f t="shared" si="19"/>
        <v>Efectivo</v>
      </c>
    </row>
    <row r="194" spans="1:14" x14ac:dyDescent="0.2">
      <c r="A194" t="s">
        <v>243</v>
      </c>
      <c r="B194" t="str" cm="1">
        <f t="array" ref="B194:C194">_xlfn.TEXTSPLIT(A194,"_")</f>
        <v>Valentina</v>
      </c>
      <c r="C194" t="str">
        <v>Soto</v>
      </c>
      <c r="D194" t="s">
        <v>165</v>
      </c>
      <c r="E194" t="s">
        <v>79</v>
      </c>
      <c r="F194" t="s">
        <v>75</v>
      </c>
      <c r="G194" t="s">
        <v>202</v>
      </c>
      <c r="H194" t="s">
        <v>383</v>
      </c>
      <c r="I194" t="str">
        <f t="shared" si="18"/>
        <v>Sta.Isabel</v>
      </c>
      <c r="J194" t="str">
        <f t="shared" si="21"/>
        <v>ParqueArauco</v>
      </c>
      <c r="K194" t="str">
        <f t="shared" si="22"/>
        <v>Debito</v>
      </c>
      <c r="L194" t="str" cm="1">
        <f t="array" ref="L194">_xlfn.IFS(J194="AltoLasCondes","MallAltoLasCondes",J194="MallPlazaEgaña","MallPlazaEgana",J194="CencoMallCostanera","CostaneraCenter", TRUE,J194)</f>
        <v>ParqueArauco</v>
      </c>
      <c r="M194" t="str">
        <f t="shared" si="19"/>
        <v>Debito</v>
      </c>
    </row>
    <row r="195" spans="1:14" x14ac:dyDescent="0.2">
      <c r="A195" t="s">
        <v>18</v>
      </c>
      <c r="B195" t="str" cm="1">
        <f t="array" ref="B195:C195">_xlfn.TEXTSPLIT(A195,"_")</f>
        <v>Xander</v>
      </c>
      <c r="C195" t="str">
        <v>Knight</v>
      </c>
      <c r="D195" t="s">
        <v>63</v>
      </c>
      <c r="E195" t="s">
        <v>79</v>
      </c>
      <c r="F195" t="s">
        <v>52</v>
      </c>
      <c r="G195" t="s">
        <v>384</v>
      </c>
      <c r="H195" t="s">
        <v>385</v>
      </c>
      <c r="I195" t="str">
        <f t="shared" ref="I195:I258" si="26">SUBSTITUTE(PROPER(TRIM((D195)))," ","")</f>
        <v>H&amp;M</v>
      </c>
      <c r="J195" t="str">
        <f t="shared" si="21"/>
        <v>ParqueArauco</v>
      </c>
      <c r="K195" t="str">
        <f t="shared" si="22"/>
        <v>Visa</v>
      </c>
      <c r="L195" t="str" cm="1">
        <f t="array" ref="L195">_xlfn.IFS(J195="AltoLasCondes","MallAltoLasCondes",J195="MallPlazaEgaña","MallPlazaEgana",J195="CencoMallCostanera","CostaneraCenter", TRUE,J195)</f>
        <v>ParqueArauco</v>
      </c>
      <c r="M195" t="str">
        <f t="shared" ref="M195:M258" si="27">IF(K195="Débito","Debito",K195)</f>
        <v>Visa</v>
      </c>
    </row>
    <row r="196" spans="1:14" x14ac:dyDescent="0.2">
      <c r="A196" t="s">
        <v>95</v>
      </c>
      <c r="B196" t="str" cm="1">
        <f t="array" ref="B196:C196">_xlfn.TEXTSPLIT(A196,"_")</f>
        <v>Javiera</v>
      </c>
      <c r="C196" t="str">
        <v>Lorca</v>
      </c>
      <c r="D196" t="s">
        <v>63</v>
      </c>
      <c r="E196" t="s">
        <v>20</v>
      </c>
      <c r="F196" t="s">
        <v>115</v>
      </c>
      <c r="G196" t="s">
        <v>386</v>
      </c>
      <c r="H196" t="s">
        <v>387</v>
      </c>
      <c r="I196" t="str">
        <f t="shared" si="26"/>
        <v>H&amp;M</v>
      </c>
      <c r="J196" t="str">
        <f t="shared" si="21"/>
        <v>MallPlazaVespucio</v>
      </c>
      <c r="K196" t="str">
        <f t="shared" si="22"/>
        <v>Visa</v>
      </c>
      <c r="L196" t="str" cm="1">
        <f t="array" ref="L196">_xlfn.IFS(J196="AltoLasCondes","MallAltoLasCondes",J196="MallPlazaEgaña","MallPlazaEgana",J196="CencoMallCostanera","CostaneraCenter", TRUE,J196)</f>
        <v>MallPlazaVespucio</v>
      </c>
      <c r="M196" t="str">
        <f t="shared" si="27"/>
        <v>Visa</v>
      </c>
    </row>
    <row r="197" spans="1:14" x14ac:dyDescent="0.2">
      <c r="A197" t="s">
        <v>41</v>
      </c>
      <c r="B197" t="str" cm="1">
        <f t="array" ref="B197:C197">_xlfn.TEXTSPLIT(A197,"_")</f>
        <v>Isidora</v>
      </c>
      <c r="C197" t="str">
        <v>Pinto</v>
      </c>
      <c r="D197" t="s">
        <v>74</v>
      </c>
      <c r="E197" t="s">
        <v>67</v>
      </c>
      <c r="F197" t="s">
        <v>60</v>
      </c>
      <c r="G197" t="s">
        <v>39</v>
      </c>
      <c r="H197" t="s">
        <v>388</v>
      </c>
      <c r="I197" t="str">
        <f t="shared" si="26"/>
        <v>Jumbo</v>
      </c>
      <c r="J197" t="str">
        <f t="shared" si="21"/>
        <v>CencoMallCostanera</v>
      </c>
      <c r="K197" t="str">
        <f t="shared" si="22"/>
        <v>Debito</v>
      </c>
      <c r="L197" t="str" cm="1">
        <f t="array" ref="L197">_xlfn.IFS(J197="AltoLasCondes","MallAltoLasCondes",J197="MallPlazaEgaña","MallPlazaEgana",J197="CencoMallCostanera","CostaneraCenter", TRUE,J197)</f>
        <v>CostaneraCenter</v>
      </c>
      <c r="M197" t="str">
        <f t="shared" si="27"/>
        <v>Debito</v>
      </c>
    </row>
    <row r="198" spans="1:14" x14ac:dyDescent="0.2">
      <c r="A198" t="s">
        <v>89</v>
      </c>
      <c r="B198" t="str" cm="1">
        <f t="array" ref="B198:C198">_xlfn.TEXTSPLIT(A198,"_")</f>
        <v>Seraphina</v>
      </c>
      <c r="C198" t="str">
        <v>Moon</v>
      </c>
      <c r="D198" t="s">
        <v>96</v>
      </c>
      <c r="E198" t="s">
        <v>67</v>
      </c>
      <c r="F198" t="s">
        <v>115</v>
      </c>
      <c r="G198" t="s">
        <v>148</v>
      </c>
      <c r="H198" t="s">
        <v>389</v>
      </c>
      <c r="I198" t="str">
        <f t="shared" si="26"/>
        <v>SodimacHomecenter</v>
      </c>
      <c r="J198" t="str">
        <f t="shared" si="21"/>
        <v>CencoMallCostanera</v>
      </c>
      <c r="K198" t="str">
        <f t="shared" si="22"/>
        <v>Visa</v>
      </c>
      <c r="L198" t="str" cm="1">
        <f t="array" ref="L198">_xlfn.IFS(J198="AltoLasCondes","MallAltoLasCondes",J198="MallPlazaEgaña","MallPlazaEgana",J198="CencoMallCostanera","CostaneraCenter", TRUE,J198)</f>
        <v>CostaneraCenter</v>
      </c>
      <c r="M198" t="str">
        <f t="shared" si="27"/>
        <v>Visa</v>
      </c>
      <c r="N198" t="str">
        <f t="shared" ref="N198:N199" si="28">LEFT(H198,3)</f>
        <v>AUX</v>
      </c>
    </row>
    <row r="199" spans="1:14" x14ac:dyDescent="0.2">
      <c r="A199" t="s">
        <v>108</v>
      </c>
      <c r="B199" t="str" cm="1">
        <f t="array" ref="B199:C199">_xlfn.TEXTSPLIT(A199,"_")</f>
        <v>Martina</v>
      </c>
      <c r="C199" t="str">
        <v>Salinas</v>
      </c>
      <c r="D199" t="s">
        <v>82</v>
      </c>
      <c r="E199" t="s">
        <v>51</v>
      </c>
      <c r="F199" t="s">
        <v>43</v>
      </c>
      <c r="G199" t="s">
        <v>202</v>
      </c>
      <c r="H199" t="s">
        <v>390</v>
      </c>
      <c r="I199" t="str">
        <f t="shared" si="26"/>
        <v>Ripley</v>
      </c>
      <c r="J199" t="str">
        <f t="shared" si="21"/>
        <v>MallplazaVespucio</v>
      </c>
      <c r="K199" t="str">
        <f t="shared" si="22"/>
        <v>Mastercard</v>
      </c>
      <c r="L199" t="str" cm="1">
        <f t="array" ref="L199">_xlfn.IFS(J199="AltoLasCondes","MallAltoLasCondes",J199="MallPlazaEgaña","MallPlazaEgana",J199="CencoMallCostanera","CostaneraCenter", TRUE,J199)</f>
        <v>MallplazaVespucio</v>
      </c>
      <c r="M199" t="str">
        <f t="shared" si="27"/>
        <v>Mastercard</v>
      </c>
      <c r="N199" t="str">
        <f t="shared" si="28"/>
        <v>RET</v>
      </c>
    </row>
    <row r="200" spans="1:14" x14ac:dyDescent="0.2">
      <c r="A200" t="s">
        <v>162</v>
      </c>
      <c r="B200" t="str" cm="1">
        <f t="array" ref="B200:C200">_xlfn.TEXTSPLIT(A200,"_")</f>
        <v>Elaina</v>
      </c>
      <c r="C200" t="str">
        <v>Giles</v>
      </c>
      <c r="D200" t="s">
        <v>19</v>
      </c>
      <c r="E200" t="s">
        <v>20</v>
      </c>
      <c r="F200" t="s">
        <v>52</v>
      </c>
      <c r="G200" t="s">
        <v>284</v>
      </c>
      <c r="H200" t="s">
        <v>391</v>
      </c>
      <c r="I200" t="str">
        <f t="shared" si="26"/>
        <v>Falabella</v>
      </c>
      <c r="J200" t="str">
        <f t="shared" si="21"/>
        <v>MallPlazaVespucio</v>
      </c>
      <c r="K200" t="str">
        <f t="shared" si="22"/>
        <v>Visa</v>
      </c>
      <c r="L200" t="str" cm="1">
        <f t="array" ref="L200">_xlfn.IFS(J200="AltoLasCondes","MallAltoLasCondes",J200="MallPlazaEgaña","MallPlazaEgana",J200="CencoMallCostanera","CostaneraCenter", TRUE,J200)</f>
        <v>MallPlazaVespucio</v>
      </c>
      <c r="M200" t="str">
        <f t="shared" si="27"/>
        <v>Visa</v>
      </c>
    </row>
    <row r="201" spans="1:14" x14ac:dyDescent="0.2">
      <c r="A201" t="s">
        <v>114</v>
      </c>
      <c r="B201" t="str" cm="1">
        <f t="array" ref="B201:C201">_xlfn.TEXTSPLIT(A201,"_")</f>
        <v>Joaquín</v>
      </c>
      <c r="C201" t="str">
        <v>Zañartu</v>
      </c>
      <c r="D201" t="s">
        <v>13</v>
      </c>
      <c r="E201" t="s">
        <v>86</v>
      </c>
      <c r="F201" t="s">
        <v>244</v>
      </c>
      <c r="G201" t="s">
        <v>355</v>
      </c>
      <c r="H201" t="s">
        <v>392</v>
      </c>
      <c r="I201" t="str">
        <f t="shared" si="26"/>
        <v>Falabella</v>
      </c>
      <c r="J201" t="str">
        <f t="shared" si="21"/>
        <v>CencoMallCostanera</v>
      </c>
      <c r="K201" t="str">
        <f t="shared" si="22"/>
        <v>Debito</v>
      </c>
      <c r="L201" t="str" cm="1">
        <f t="array" ref="L201">_xlfn.IFS(J201="AltoLasCondes","MallAltoLasCondes",J201="MallPlazaEgaña","MallPlazaEgana",J201="CencoMallCostanera","CostaneraCenter", TRUE,J201)</f>
        <v>CostaneraCenter</v>
      </c>
      <c r="M201" t="str">
        <f t="shared" si="27"/>
        <v>Debito</v>
      </c>
    </row>
    <row r="202" spans="1:14" x14ac:dyDescent="0.2">
      <c r="A202" t="s">
        <v>98</v>
      </c>
      <c r="B202" t="str" cm="1">
        <f t="array" ref="B202:C202">_xlfn.TEXTSPLIT(A202,"_")</f>
        <v>Sienna</v>
      </c>
      <c r="C202" t="str">
        <v>Frost</v>
      </c>
      <c r="D202" t="s">
        <v>165</v>
      </c>
      <c r="E202" t="s">
        <v>216</v>
      </c>
      <c r="F202" t="s">
        <v>21</v>
      </c>
      <c r="G202" t="s">
        <v>298</v>
      </c>
      <c r="H202" t="s">
        <v>393</v>
      </c>
      <c r="I202" t="str">
        <f t="shared" si="26"/>
        <v>Sta.Isabel</v>
      </c>
      <c r="J202" t="str">
        <f t="shared" si="21"/>
        <v>MallPlazaEgana</v>
      </c>
      <c r="K202" t="str">
        <f t="shared" si="22"/>
        <v>Visa</v>
      </c>
      <c r="L202" t="str" cm="1">
        <f t="array" ref="L202">_xlfn.IFS(J202="AltoLasCondes","MallAltoLasCondes",J202="MallPlazaEgaña","MallPlazaEgana",J202="CencoMallCostanera","CostaneraCenter", TRUE,J202)</f>
        <v>MallPlazaEgana</v>
      </c>
      <c r="M202" t="str">
        <f t="shared" si="27"/>
        <v>Visa</v>
      </c>
    </row>
    <row r="203" spans="1:14" x14ac:dyDescent="0.2">
      <c r="A203" t="s">
        <v>215</v>
      </c>
      <c r="B203" t="str" cm="1">
        <f t="array" ref="B203:C203">_xlfn.TEXTSPLIT(A203,"_")</f>
        <v>Cole</v>
      </c>
      <c r="C203" t="str">
        <v>Bray</v>
      </c>
      <c r="D203" t="s">
        <v>125</v>
      </c>
      <c r="E203" t="s">
        <v>83</v>
      </c>
      <c r="F203" t="s">
        <v>15</v>
      </c>
      <c r="G203" t="s">
        <v>336</v>
      </c>
      <c r="H203" t="s">
        <v>394</v>
      </c>
      <c r="I203" t="str">
        <f t="shared" si="26"/>
        <v>Ripley</v>
      </c>
      <c r="J203" t="str">
        <f t="shared" si="21"/>
        <v>MallplazaEgaña</v>
      </c>
      <c r="K203" t="str">
        <f t="shared" si="22"/>
        <v>MasterCard</v>
      </c>
      <c r="L203" t="str" cm="1">
        <f t="array" ref="L203">_xlfn.IFS(J203="AltoLasCondes","MallAltoLasCondes",J203="MallPlazaEgaña","MallPlazaEgana",J203="CencoMallCostanera","CostaneraCenter", TRUE,J203)</f>
        <v>MallPlazaEgana</v>
      </c>
      <c r="M203" t="str">
        <f t="shared" si="27"/>
        <v>MasterCard</v>
      </c>
    </row>
    <row r="204" spans="1:14" x14ac:dyDescent="0.2">
      <c r="A204" t="s">
        <v>89</v>
      </c>
      <c r="B204" t="str" cm="1">
        <f t="array" ref="B204:C204">_xlfn.TEXTSPLIT(A204,"_")</f>
        <v>Seraphina</v>
      </c>
      <c r="C204" t="str">
        <v>Moon</v>
      </c>
      <c r="D204" t="s">
        <v>197</v>
      </c>
      <c r="E204" t="s">
        <v>51</v>
      </c>
      <c r="F204" t="s">
        <v>52</v>
      </c>
      <c r="G204" t="s">
        <v>220</v>
      </c>
      <c r="H204" t="s">
        <v>395</v>
      </c>
      <c r="I204" t="str">
        <f t="shared" si="26"/>
        <v>Ripley</v>
      </c>
      <c r="J204" t="str">
        <f t="shared" si="21"/>
        <v>MallplazaVespucio</v>
      </c>
      <c r="K204" t="str">
        <f t="shared" si="22"/>
        <v>Visa</v>
      </c>
      <c r="L204" t="str" cm="1">
        <f t="array" ref="L204">_xlfn.IFS(J204="AltoLasCondes","MallAltoLasCondes",J204="MallPlazaEgaña","MallPlazaEgana",J204="CencoMallCostanera","CostaneraCenter", TRUE,J204)</f>
        <v>MallplazaVespucio</v>
      </c>
      <c r="M204" t="str">
        <f t="shared" si="27"/>
        <v>Visa</v>
      </c>
    </row>
    <row r="205" spans="1:14" x14ac:dyDescent="0.2">
      <c r="A205" t="s">
        <v>100</v>
      </c>
      <c r="B205" t="str" cm="1">
        <f t="array" ref="B205:C205">_xlfn.TEXTSPLIT(A205,"_")</f>
        <v>Beckett</v>
      </c>
      <c r="C205" t="str">
        <v>Chase</v>
      </c>
      <c r="D205" t="s">
        <v>125</v>
      </c>
      <c r="E205" t="s">
        <v>121</v>
      </c>
      <c r="F205" t="s">
        <v>57</v>
      </c>
      <c r="G205" t="s">
        <v>286</v>
      </c>
      <c r="H205" t="s">
        <v>396</v>
      </c>
      <c r="I205" t="str">
        <f t="shared" si="26"/>
        <v>Ripley</v>
      </c>
      <c r="J205" t="str">
        <f t="shared" si="21"/>
        <v>CostaneraCenter</v>
      </c>
      <c r="K205" t="str">
        <f t="shared" si="22"/>
        <v>Efectivo</v>
      </c>
      <c r="L205" t="str" cm="1">
        <f t="array" ref="L205">_xlfn.IFS(J205="AltoLasCondes","MallAltoLasCondes",J205="MallPlazaEgaña","MallPlazaEgana",J205="CencoMallCostanera","CostaneraCenter", TRUE,J205)</f>
        <v>CostaneraCenter</v>
      </c>
      <c r="M205" t="str">
        <f t="shared" si="27"/>
        <v>Efectivo</v>
      </c>
    </row>
    <row r="206" spans="1:14" x14ac:dyDescent="0.2">
      <c r="A206" t="s">
        <v>98</v>
      </c>
      <c r="B206" t="str" cm="1">
        <f t="array" ref="B206:C206">_xlfn.TEXTSPLIT(A206,"_")</f>
        <v>Sienna</v>
      </c>
      <c r="C206" t="str">
        <v>Frost</v>
      </c>
      <c r="D206" t="s">
        <v>63</v>
      </c>
      <c r="E206" t="s">
        <v>91</v>
      </c>
      <c r="F206" t="s">
        <v>75</v>
      </c>
      <c r="G206" t="s">
        <v>397</v>
      </c>
      <c r="H206" t="s">
        <v>398</v>
      </c>
      <c r="I206" t="str">
        <f t="shared" si="26"/>
        <v>H&amp;M</v>
      </c>
      <c r="J206" t="str">
        <f t="shared" si="21"/>
        <v>CostaneraCenter</v>
      </c>
      <c r="K206" t="str">
        <f t="shared" si="22"/>
        <v>Debito</v>
      </c>
      <c r="L206" t="str" cm="1">
        <f t="array" ref="L206">_xlfn.IFS(J206="AltoLasCondes","MallAltoLasCondes",J206="MallPlazaEgaña","MallPlazaEgana",J206="CencoMallCostanera","CostaneraCenter", TRUE,J206)</f>
        <v>CostaneraCenter</v>
      </c>
      <c r="M206" t="str">
        <f t="shared" si="27"/>
        <v>Debito</v>
      </c>
    </row>
    <row r="207" spans="1:14" x14ac:dyDescent="0.2">
      <c r="A207" t="s">
        <v>70</v>
      </c>
      <c r="B207" t="str" cm="1">
        <f t="array" ref="B207:C207">_xlfn.TEXTSPLIT(A207,"_")</f>
        <v>Liora</v>
      </c>
      <c r="C207" t="str">
        <v>Pace</v>
      </c>
      <c r="D207" t="s">
        <v>74</v>
      </c>
      <c r="E207" t="s">
        <v>67</v>
      </c>
      <c r="F207" t="s">
        <v>156</v>
      </c>
      <c r="G207" t="s">
        <v>103</v>
      </c>
      <c r="H207" t="s">
        <v>399</v>
      </c>
      <c r="I207" t="str">
        <f t="shared" si="26"/>
        <v>Jumbo</v>
      </c>
      <c r="J207" t="str">
        <f t="shared" si="21"/>
        <v>CencoMallCostanera</v>
      </c>
      <c r="K207" t="str">
        <f t="shared" si="22"/>
        <v>Débito</v>
      </c>
      <c r="L207" t="str" cm="1">
        <f t="array" ref="L207">_xlfn.IFS(J207="AltoLasCondes","MallAltoLasCondes",J207="MallPlazaEgaña","MallPlazaEgana",J207="CencoMallCostanera","CostaneraCenter", TRUE,J207)</f>
        <v>CostaneraCenter</v>
      </c>
      <c r="M207" t="str">
        <f t="shared" si="27"/>
        <v>Debito</v>
      </c>
    </row>
    <row r="208" spans="1:14" x14ac:dyDescent="0.2">
      <c r="A208" t="s">
        <v>108</v>
      </c>
      <c r="B208" t="str" cm="1">
        <f t="array" ref="B208:C208">_xlfn.TEXTSPLIT(A208,"_")</f>
        <v>Martina</v>
      </c>
      <c r="C208" t="str">
        <v>Salinas</v>
      </c>
      <c r="D208" t="s">
        <v>7</v>
      </c>
      <c r="E208" t="s">
        <v>14</v>
      </c>
      <c r="F208" t="s">
        <v>60</v>
      </c>
      <c r="G208" t="s">
        <v>188</v>
      </c>
      <c r="H208" t="s">
        <v>400</v>
      </c>
      <c r="I208" t="str">
        <f t="shared" si="26"/>
        <v>Zara</v>
      </c>
      <c r="J208" t="str">
        <f t="shared" si="21"/>
        <v>MallPlazaEgaña</v>
      </c>
      <c r="K208" t="str">
        <f t="shared" si="22"/>
        <v>Debito</v>
      </c>
      <c r="L208" t="str" cm="1">
        <f t="array" ref="L208">_xlfn.IFS(J208="AltoLasCondes","MallAltoLasCondes",J208="MallPlazaEgaña","MallPlazaEgana",J208="CencoMallCostanera","CostaneraCenter", TRUE,J208)</f>
        <v>MallPlazaEgana</v>
      </c>
      <c r="M208" t="str">
        <f t="shared" si="27"/>
        <v>Debito</v>
      </c>
    </row>
    <row r="209" spans="1:14" x14ac:dyDescent="0.2">
      <c r="A209" t="s">
        <v>18</v>
      </c>
      <c r="B209" t="str" cm="1">
        <f t="array" ref="B209:C209">_xlfn.TEXTSPLIT(A209,"_")</f>
        <v>Xander</v>
      </c>
      <c r="C209" t="str">
        <v>Knight</v>
      </c>
      <c r="D209" t="s">
        <v>295</v>
      </c>
      <c r="E209" t="s">
        <v>8</v>
      </c>
      <c r="F209" t="s">
        <v>147</v>
      </c>
      <c r="G209" t="s">
        <v>377</v>
      </c>
      <c r="H209" t="s">
        <v>401</v>
      </c>
      <c r="I209" t="str">
        <f t="shared" si="26"/>
        <v>Sodimac</v>
      </c>
      <c r="J209" t="str">
        <f t="shared" si="21"/>
        <v>MallPlazaVespucio</v>
      </c>
      <c r="K209" t="str">
        <f t="shared" si="22"/>
        <v>Americanexpress</v>
      </c>
      <c r="L209" t="str" cm="1">
        <f t="array" ref="L209">_xlfn.IFS(J209="AltoLasCondes","MallAltoLasCondes",J209="MallPlazaEgaña","MallPlazaEgana",J209="CencoMallCostanera","CostaneraCenter", TRUE,J209)</f>
        <v>MallPlazaVespucio</v>
      </c>
      <c r="M209" t="str">
        <f t="shared" si="27"/>
        <v>Americanexpress</v>
      </c>
    </row>
    <row r="210" spans="1:14" x14ac:dyDescent="0.2">
      <c r="A210" t="s">
        <v>159</v>
      </c>
      <c r="B210" t="str" cm="1">
        <f t="array" ref="B210:C210">_xlfn.TEXTSPLIT(A210,"_")</f>
        <v>Tomás</v>
      </c>
      <c r="C210" t="str">
        <v>Guzmán</v>
      </c>
      <c r="D210" t="s">
        <v>190</v>
      </c>
      <c r="E210" t="s">
        <v>42</v>
      </c>
      <c r="F210" t="s">
        <v>43</v>
      </c>
      <c r="G210" t="s">
        <v>144</v>
      </c>
      <c r="H210" t="s">
        <v>402</v>
      </c>
      <c r="I210" t="str">
        <f t="shared" si="26"/>
        <v>SantaIsabel</v>
      </c>
      <c r="J210" t="str">
        <f t="shared" ref="J210:J273" si="29">SUBSTITUTE(PROPER(TRIM((E210)))," ","")</f>
        <v>AltoLasCondes</v>
      </c>
      <c r="K210" t="str">
        <f t="shared" ref="K210:K273" si="30">SUBSTITUTE(PROPER(TRIM((F210)))," ","")</f>
        <v>Mastercard</v>
      </c>
      <c r="L210" t="str" cm="1">
        <f t="array" ref="L210">_xlfn.IFS(J210="AltoLasCondes","MallAltoLasCondes",J210="MallPlazaEgaña","MallPlazaEgana",J210="CencoMallCostanera","CostaneraCenter", TRUE,J210)</f>
        <v>MallAltoLasCondes</v>
      </c>
      <c r="M210" t="str">
        <f t="shared" si="27"/>
        <v>Mastercard</v>
      </c>
    </row>
    <row r="211" spans="1:14" x14ac:dyDescent="0.2">
      <c r="A211" t="s">
        <v>140</v>
      </c>
      <c r="B211" t="str" cm="1">
        <f t="array" ref="B211:C211">_xlfn.TEXTSPLIT(A211,"_")</f>
        <v>Benjamín</v>
      </c>
      <c r="C211" t="str">
        <v>Vargas</v>
      </c>
      <c r="D211" t="s">
        <v>102</v>
      </c>
      <c r="E211" t="s">
        <v>83</v>
      </c>
      <c r="F211" t="s">
        <v>92</v>
      </c>
      <c r="G211" t="s">
        <v>403</v>
      </c>
      <c r="H211" t="s">
        <v>404</v>
      </c>
      <c r="I211" t="str">
        <f t="shared" si="26"/>
        <v>Paris</v>
      </c>
      <c r="J211" t="str">
        <f t="shared" si="29"/>
        <v>MallplazaEgaña</v>
      </c>
      <c r="K211" t="str">
        <f t="shared" si="30"/>
        <v>Efectivo</v>
      </c>
      <c r="L211" t="str" cm="1">
        <f t="array" ref="L211">_xlfn.IFS(J211="AltoLasCondes","MallAltoLasCondes",J211="MallPlazaEgaña","MallPlazaEgana",J211="CencoMallCostanera","CostaneraCenter", TRUE,J211)</f>
        <v>MallPlazaEgana</v>
      </c>
      <c r="M211" t="str">
        <f t="shared" si="27"/>
        <v>Efectivo</v>
      </c>
    </row>
    <row r="212" spans="1:14" x14ac:dyDescent="0.2">
      <c r="A212" t="s">
        <v>351</v>
      </c>
      <c r="B212" t="str" cm="1">
        <f t="array" ref="B212:C212">_xlfn.TEXTSPLIT(A212,"_")</f>
        <v>Matías</v>
      </c>
      <c r="C212" t="str">
        <v>Lira</v>
      </c>
      <c r="D212" t="s">
        <v>82</v>
      </c>
      <c r="E212" t="s">
        <v>59</v>
      </c>
      <c r="F212" t="s">
        <v>130</v>
      </c>
      <c r="G212" t="s">
        <v>386</v>
      </c>
      <c r="H212" t="s">
        <v>405</v>
      </c>
      <c r="I212" t="str">
        <f t="shared" si="26"/>
        <v>Ripley</v>
      </c>
      <c r="J212" t="str">
        <f t="shared" si="29"/>
        <v>AltoLasCondes</v>
      </c>
      <c r="K212" t="str">
        <f t="shared" si="30"/>
        <v>MasterCard</v>
      </c>
      <c r="L212" t="str" cm="1">
        <f t="array" ref="L212">_xlfn.IFS(J212="AltoLasCondes","MallAltoLasCondes",J212="MallPlazaEgaña","MallPlazaEgana",J212="CencoMallCostanera","CostaneraCenter", TRUE,J212)</f>
        <v>MallAltoLasCondes</v>
      </c>
      <c r="M212" t="str">
        <f t="shared" si="27"/>
        <v>MasterCard</v>
      </c>
      <c r="N212" t="str">
        <f t="shared" ref="N212:N213" si="31">LEFT(H212,3)</f>
        <v>RET</v>
      </c>
    </row>
    <row r="213" spans="1:14" x14ac:dyDescent="0.2">
      <c r="A213" t="s">
        <v>6</v>
      </c>
      <c r="B213" t="str" cm="1">
        <f t="array" ref="B213:C213">_xlfn.TEXTSPLIT(A213,"_")</f>
        <v>Kobe</v>
      </c>
      <c r="C213" t="str">
        <v>Higgins</v>
      </c>
      <c r="D213" t="s">
        <v>82</v>
      </c>
      <c r="E213" t="s">
        <v>67</v>
      </c>
      <c r="F213" t="s">
        <v>9</v>
      </c>
      <c r="G213" t="s">
        <v>106</v>
      </c>
      <c r="H213" t="s">
        <v>406</v>
      </c>
      <c r="I213" t="str">
        <f t="shared" si="26"/>
        <v>Ripley</v>
      </c>
      <c r="J213" t="str">
        <f t="shared" si="29"/>
        <v>CencoMallCostanera</v>
      </c>
      <c r="K213" t="str">
        <f t="shared" si="30"/>
        <v>Efectivo</v>
      </c>
      <c r="L213" t="str" cm="1">
        <f t="array" ref="L213">_xlfn.IFS(J213="AltoLasCondes","MallAltoLasCondes",J213="MallPlazaEgaña","MallPlazaEgana",J213="CencoMallCostanera","CostaneraCenter", TRUE,J213)</f>
        <v>CostaneraCenter</v>
      </c>
      <c r="M213" t="str">
        <f t="shared" si="27"/>
        <v>Efectivo</v>
      </c>
      <c r="N213" t="str">
        <f t="shared" si="31"/>
        <v>RET</v>
      </c>
    </row>
    <row r="214" spans="1:14" x14ac:dyDescent="0.2">
      <c r="A214" t="s">
        <v>29</v>
      </c>
      <c r="B214" t="str" cm="1">
        <f t="array" ref="B214:C214">_xlfn.TEXTSPLIT(A214,"_")</f>
        <v>Lucas</v>
      </c>
      <c r="C214" t="str">
        <v>Echeverría</v>
      </c>
      <c r="D214" t="s">
        <v>35</v>
      </c>
      <c r="E214" t="s">
        <v>20</v>
      </c>
      <c r="F214" t="s">
        <v>147</v>
      </c>
      <c r="G214" t="s">
        <v>168</v>
      </c>
      <c r="H214" t="s">
        <v>407</v>
      </c>
      <c r="I214" t="str">
        <f t="shared" si="26"/>
        <v>Easy</v>
      </c>
      <c r="J214" t="str">
        <f t="shared" si="29"/>
        <v>MallPlazaVespucio</v>
      </c>
      <c r="K214" t="str">
        <f t="shared" si="30"/>
        <v>Americanexpress</v>
      </c>
      <c r="L214" t="str" cm="1">
        <f t="array" ref="L214">_xlfn.IFS(J214="AltoLasCondes","MallAltoLasCondes",J214="MallPlazaEgaña","MallPlazaEgana",J214="CencoMallCostanera","CostaneraCenter", TRUE,J214)</f>
        <v>MallPlazaVespucio</v>
      </c>
      <c r="M214" t="str">
        <f t="shared" si="27"/>
        <v>Americanexpress</v>
      </c>
    </row>
    <row r="215" spans="1:14" x14ac:dyDescent="0.2">
      <c r="A215" t="s">
        <v>351</v>
      </c>
      <c r="B215" t="str" cm="1">
        <f t="array" ref="B215:C215">_xlfn.TEXTSPLIT(A215,"_")</f>
        <v>Matías</v>
      </c>
      <c r="C215" t="str">
        <v>Lira</v>
      </c>
      <c r="D215" t="s">
        <v>74</v>
      </c>
      <c r="E215" t="s">
        <v>14</v>
      </c>
      <c r="F215" t="s">
        <v>43</v>
      </c>
      <c r="G215" t="s">
        <v>371</v>
      </c>
      <c r="H215" t="s">
        <v>408</v>
      </c>
      <c r="I215" t="str">
        <f t="shared" si="26"/>
        <v>Jumbo</v>
      </c>
      <c r="J215" t="str">
        <f t="shared" si="29"/>
        <v>MallPlazaEgaña</v>
      </c>
      <c r="K215" t="str">
        <f t="shared" si="30"/>
        <v>Mastercard</v>
      </c>
      <c r="L215" t="str" cm="1">
        <f t="array" ref="L215">_xlfn.IFS(J215="AltoLasCondes","MallAltoLasCondes",J215="MallPlazaEgaña","MallPlazaEgana",J215="CencoMallCostanera","CostaneraCenter", TRUE,J215)</f>
        <v>MallPlazaEgana</v>
      </c>
      <c r="M215" t="str">
        <f t="shared" si="27"/>
        <v>Mastercard</v>
      </c>
    </row>
    <row r="216" spans="1:14" x14ac:dyDescent="0.2">
      <c r="A216" t="s">
        <v>159</v>
      </c>
      <c r="B216" t="str" cm="1">
        <f t="array" ref="B216:C216">_xlfn.TEXTSPLIT(A216,"_")</f>
        <v>Tomás</v>
      </c>
      <c r="C216" t="str">
        <v>Guzmán</v>
      </c>
      <c r="D216" t="s">
        <v>50</v>
      </c>
      <c r="E216" t="s">
        <v>121</v>
      </c>
      <c r="F216" t="s">
        <v>26</v>
      </c>
      <c r="G216" t="s">
        <v>298</v>
      </c>
      <c r="H216" t="s">
        <v>409</v>
      </c>
      <c r="I216" t="str">
        <f t="shared" si="26"/>
        <v>Easy</v>
      </c>
      <c r="J216" t="str">
        <f t="shared" si="29"/>
        <v>CostaneraCenter</v>
      </c>
      <c r="K216" t="str">
        <f t="shared" si="30"/>
        <v>AmericanExpress</v>
      </c>
      <c r="L216" t="str" cm="1">
        <f t="array" ref="L216">_xlfn.IFS(J216="AltoLasCondes","MallAltoLasCondes",J216="MallPlazaEgaña","MallPlazaEgana",J216="CencoMallCostanera","CostaneraCenter", TRUE,J216)</f>
        <v>CostaneraCenter</v>
      </c>
      <c r="M216" t="str">
        <f t="shared" si="27"/>
        <v>AmericanExpress</v>
      </c>
    </row>
    <row r="217" spans="1:14" x14ac:dyDescent="0.2">
      <c r="A217" t="s">
        <v>6</v>
      </c>
      <c r="B217" t="str" cm="1">
        <f t="array" ref="B217:C217">_xlfn.TEXTSPLIT(A217,"_")</f>
        <v>Kobe</v>
      </c>
      <c r="C217" t="str">
        <v>Higgins</v>
      </c>
      <c r="D217" t="s">
        <v>35</v>
      </c>
      <c r="E217" t="s">
        <v>8</v>
      </c>
      <c r="F217" t="s">
        <v>26</v>
      </c>
      <c r="G217" t="s">
        <v>282</v>
      </c>
      <c r="H217" t="s">
        <v>410</v>
      </c>
      <c r="I217" t="str">
        <f t="shared" si="26"/>
        <v>Easy</v>
      </c>
      <c r="J217" t="str">
        <f t="shared" si="29"/>
        <v>MallPlazaVespucio</v>
      </c>
      <c r="K217" t="str">
        <f t="shared" si="30"/>
        <v>AmericanExpress</v>
      </c>
      <c r="L217" t="str" cm="1">
        <f t="array" ref="L217">_xlfn.IFS(J217="AltoLasCondes","MallAltoLasCondes",J217="MallPlazaEgaña","MallPlazaEgana",J217="CencoMallCostanera","CostaneraCenter", TRUE,J217)</f>
        <v>MallPlazaVespucio</v>
      </c>
      <c r="M217" t="str">
        <f t="shared" si="27"/>
        <v>AmericanExpress</v>
      </c>
    </row>
    <row r="218" spans="1:14" x14ac:dyDescent="0.2">
      <c r="A218" t="s">
        <v>6</v>
      </c>
      <c r="B218" t="str" cm="1">
        <f t="array" ref="B218:C218">_xlfn.TEXTSPLIT(A218,"_")</f>
        <v>Kobe</v>
      </c>
      <c r="C218" t="str">
        <v>Higgins</v>
      </c>
      <c r="D218" t="s">
        <v>78</v>
      </c>
      <c r="E218" t="s">
        <v>14</v>
      </c>
      <c r="F218" t="s">
        <v>36</v>
      </c>
      <c r="G218" t="s">
        <v>355</v>
      </c>
      <c r="H218" t="s">
        <v>411</v>
      </c>
      <c r="I218" t="str">
        <f t="shared" si="26"/>
        <v>SantaIsabel</v>
      </c>
      <c r="J218" t="str">
        <f t="shared" si="29"/>
        <v>MallPlazaEgaña</v>
      </c>
      <c r="K218" t="str">
        <f t="shared" si="30"/>
        <v>MasterCard</v>
      </c>
      <c r="L218" t="str" cm="1">
        <f t="array" ref="L218">_xlfn.IFS(J218="AltoLasCondes","MallAltoLasCondes",J218="MallPlazaEgaña","MallPlazaEgana",J218="CencoMallCostanera","CostaneraCenter", TRUE,J218)</f>
        <v>MallPlazaEgana</v>
      </c>
      <c r="M218" t="str">
        <f t="shared" si="27"/>
        <v>MasterCard</v>
      </c>
    </row>
    <row r="219" spans="1:14" x14ac:dyDescent="0.2">
      <c r="A219" t="s">
        <v>108</v>
      </c>
      <c r="B219" t="str" cm="1">
        <f t="array" ref="B219:C219">_xlfn.TEXTSPLIT(A219,"_")</f>
        <v>Martina</v>
      </c>
      <c r="C219" t="str">
        <v>Salinas</v>
      </c>
      <c r="D219" t="s">
        <v>102</v>
      </c>
      <c r="E219" t="s">
        <v>216</v>
      </c>
      <c r="F219" t="s">
        <v>115</v>
      </c>
      <c r="G219" t="s">
        <v>118</v>
      </c>
      <c r="H219" t="s">
        <v>412</v>
      </c>
      <c r="I219" t="str">
        <f t="shared" si="26"/>
        <v>Paris</v>
      </c>
      <c r="J219" t="str">
        <f t="shared" si="29"/>
        <v>MallPlazaEgana</v>
      </c>
      <c r="K219" t="str">
        <f t="shared" si="30"/>
        <v>Visa</v>
      </c>
      <c r="L219" t="str" cm="1">
        <f t="array" ref="L219">_xlfn.IFS(J219="AltoLasCondes","MallAltoLasCondes",J219="MallPlazaEgaña","MallPlazaEgana",J219="CencoMallCostanera","CostaneraCenter", TRUE,J219)</f>
        <v>MallPlazaEgana</v>
      </c>
      <c r="M219" t="str">
        <f t="shared" si="27"/>
        <v>Visa</v>
      </c>
    </row>
    <row r="220" spans="1:14" x14ac:dyDescent="0.2">
      <c r="A220" t="s">
        <v>124</v>
      </c>
      <c r="B220" t="str" cm="1">
        <f t="array" ref="B220:C220">_xlfn.TEXTSPLIT(A220,"_")</f>
        <v>Ignacio</v>
      </c>
      <c r="C220" t="str">
        <v>Reyes</v>
      </c>
      <c r="D220" t="s">
        <v>120</v>
      </c>
      <c r="E220" t="s">
        <v>126</v>
      </c>
      <c r="F220" t="s">
        <v>87</v>
      </c>
      <c r="G220" t="s">
        <v>154</v>
      </c>
      <c r="H220" t="s">
        <v>413</v>
      </c>
      <c r="I220" t="str">
        <f t="shared" si="26"/>
        <v>Paris</v>
      </c>
      <c r="J220" t="str">
        <f t="shared" si="29"/>
        <v>MallAltoLasCondes</v>
      </c>
      <c r="K220" t="str">
        <f t="shared" si="30"/>
        <v>Visa</v>
      </c>
      <c r="L220" t="str" cm="1">
        <f t="array" ref="L220">_xlfn.IFS(J220="AltoLasCondes","MallAltoLasCondes",J220="MallPlazaEgaña","MallPlazaEgana",J220="CencoMallCostanera","CostaneraCenter", TRUE,J220)</f>
        <v>MallAltoLasCondes</v>
      </c>
      <c r="M220" t="str">
        <f t="shared" si="27"/>
        <v>Visa</v>
      </c>
    </row>
    <row r="221" spans="1:14" x14ac:dyDescent="0.2">
      <c r="A221" t="s">
        <v>6</v>
      </c>
      <c r="B221" t="str" cm="1">
        <f t="array" ref="B221:C221">_xlfn.TEXTSPLIT(A221,"_")</f>
        <v>Kobe</v>
      </c>
      <c r="C221" t="str">
        <v>Higgins</v>
      </c>
      <c r="D221" t="s">
        <v>96</v>
      </c>
      <c r="E221" t="s">
        <v>14</v>
      </c>
      <c r="F221" t="s">
        <v>57</v>
      </c>
      <c r="G221" t="s">
        <v>116</v>
      </c>
      <c r="H221" t="s">
        <v>414</v>
      </c>
      <c r="I221" t="str">
        <f t="shared" si="26"/>
        <v>SodimacHomecenter</v>
      </c>
      <c r="J221" t="str">
        <f t="shared" si="29"/>
        <v>MallPlazaEgaña</v>
      </c>
      <c r="K221" t="str">
        <f t="shared" si="30"/>
        <v>Efectivo</v>
      </c>
      <c r="L221" t="str" cm="1">
        <f t="array" ref="L221">_xlfn.IFS(J221="AltoLasCondes","MallAltoLasCondes",J221="MallPlazaEgaña","MallPlazaEgana",J221="CencoMallCostanera","CostaneraCenter", TRUE,J221)</f>
        <v>MallPlazaEgana</v>
      </c>
      <c r="M221" t="str">
        <f t="shared" si="27"/>
        <v>Efectivo</v>
      </c>
    </row>
    <row r="222" spans="1:14" x14ac:dyDescent="0.2">
      <c r="A222" t="s">
        <v>95</v>
      </c>
      <c r="B222" t="str" cm="1">
        <f t="array" ref="B222:C222">_xlfn.TEXTSPLIT(A222,"_")</f>
        <v>Javiera</v>
      </c>
      <c r="C222" t="str">
        <v>Lorca</v>
      </c>
      <c r="D222" t="s">
        <v>13</v>
      </c>
      <c r="E222" t="s">
        <v>31</v>
      </c>
      <c r="F222" t="s">
        <v>147</v>
      </c>
      <c r="G222" t="s">
        <v>377</v>
      </c>
      <c r="H222" t="s">
        <v>415</v>
      </c>
      <c r="I222" t="str">
        <f t="shared" si="26"/>
        <v>Falabella</v>
      </c>
      <c r="J222" t="str">
        <f t="shared" si="29"/>
        <v>ParqueArauco</v>
      </c>
      <c r="K222" t="str">
        <f t="shared" si="30"/>
        <v>Americanexpress</v>
      </c>
      <c r="L222" t="str" cm="1">
        <f t="array" ref="L222">_xlfn.IFS(J222="AltoLasCondes","MallAltoLasCondes",J222="MallPlazaEgaña","MallPlazaEgana",J222="CencoMallCostanera","CostaneraCenter", TRUE,J222)</f>
        <v>ParqueArauco</v>
      </c>
      <c r="M222" t="str">
        <f t="shared" si="27"/>
        <v>Americanexpress</v>
      </c>
    </row>
    <row r="223" spans="1:14" x14ac:dyDescent="0.2">
      <c r="A223" t="s">
        <v>215</v>
      </c>
      <c r="B223" t="str" cm="1">
        <f t="array" ref="B223:C223">_xlfn.TEXTSPLIT(A223,"_")</f>
        <v>Cole</v>
      </c>
      <c r="C223" t="str">
        <v>Bray</v>
      </c>
      <c r="D223" t="s">
        <v>190</v>
      </c>
      <c r="E223" t="s">
        <v>126</v>
      </c>
      <c r="F223" t="s">
        <v>43</v>
      </c>
      <c r="G223" t="s">
        <v>416</v>
      </c>
      <c r="H223" t="s">
        <v>417</v>
      </c>
      <c r="I223" t="str">
        <f t="shared" si="26"/>
        <v>SantaIsabel</v>
      </c>
      <c r="J223" t="str">
        <f t="shared" si="29"/>
        <v>MallAltoLasCondes</v>
      </c>
      <c r="K223" t="str">
        <f t="shared" si="30"/>
        <v>Mastercard</v>
      </c>
      <c r="L223" t="str" cm="1">
        <f t="array" ref="L223">_xlfn.IFS(J223="AltoLasCondes","MallAltoLasCondes",J223="MallPlazaEgaña","MallPlazaEgana",J223="CencoMallCostanera","CostaneraCenter", TRUE,J223)</f>
        <v>MallAltoLasCondes</v>
      </c>
      <c r="M223" t="str">
        <f t="shared" si="27"/>
        <v>Mastercard</v>
      </c>
    </row>
    <row r="224" spans="1:14" x14ac:dyDescent="0.2">
      <c r="A224" t="s">
        <v>215</v>
      </c>
      <c r="B224" t="str" cm="1">
        <f t="array" ref="B224:C224">_xlfn.TEXTSPLIT(A224,"_")</f>
        <v>Cole</v>
      </c>
      <c r="C224" t="str">
        <v>Bray</v>
      </c>
      <c r="D224" t="s">
        <v>295</v>
      </c>
      <c r="E224" t="s">
        <v>67</v>
      </c>
      <c r="F224" t="s">
        <v>92</v>
      </c>
      <c r="G224" t="s">
        <v>418</v>
      </c>
      <c r="H224" t="s">
        <v>419</v>
      </c>
      <c r="I224" t="str">
        <f t="shared" si="26"/>
        <v>Sodimac</v>
      </c>
      <c r="J224" t="str">
        <f t="shared" si="29"/>
        <v>CencoMallCostanera</v>
      </c>
      <c r="K224" t="str">
        <f t="shared" si="30"/>
        <v>Efectivo</v>
      </c>
      <c r="L224" t="str" cm="1">
        <f t="array" ref="L224">_xlfn.IFS(J224="AltoLasCondes","MallAltoLasCondes",J224="MallPlazaEgaña","MallPlazaEgana",J224="CencoMallCostanera","CostaneraCenter", TRUE,J224)</f>
        <v>CostaneraCenter</v>
      </c>
      <c r="M224" t="str">
        <f t="shared" si="27"/>
        <v>Efectivo</v>
      </c>
    </row>
    <row r="225" spans="1:14" x14ac:dyDescent="0.2">
      <c r="A225" t="s">
        <v>6</v>
      </c>
      <c r="B225" t="str" cm="1">
        <f t="array" ref="B225:C225">_xlfn.TEXTSPLIT(A225,"_")</f>
        <v>Kobe</v>
      </c>
      <c r="C225" t="str">
        <v>Higgins</v>
      </c>
      <c r="D225" t="s">
        <v>190</v>
      </c>
      <c r="E225" t="s">
        <v>42</v>
      </c>
      <c r="F225" t="s">
        <v>9</v>
      </c>
      <c r="G225" t="s">
        <v>268</v>
      </c>
      <c r="H225" t="s">
        <v>420</v>
      </c>
      <c r="I225" t="str">
        <f t="shared" si="26"/>
        <v>SantaIsabel</v>
      </c>
      <c r="J225" t="str">
        <f t="shared" si="29"/>
        <v>AltoLasCondes</v>
      </c>
      <c r="K225" t="str">
        <f t="shared" si="30"/>
        <v>Efectivo</v>
      </c>
      <c r="L225" t="str" cm="1">
        <f t="array" ref="L225">_xlfn.IFS(J225="AltoLasCondes","MallAltoLasCondes",J225="MallPlazaEgaña","MallPlazaEgana",J225="CencoMallCostanera","CostaneraCenter", TRUE,J225)</f>
        <v>MallAltoLasCondes</v>
      </c>
      <c r="M225" t="str">
        <f t="shared" si="27"/>
        <v>Efectivo</v>
      </c>
    </row>
    <row r="226" spans="1:14" x14ac:dyDescent="0.2">
      <c r="A226" t="s">
        <v>49</v>
      </c>
      <c r="B226" t="str" cm="1">
        <f t="array" ref="B226:C226">_xlfn.TEXTSPLIT(A226,"_")</f>
        <v>Talia</v>
      </c>
      <c r="C226" t="str">
        <v>Cuevas</v>
      </c>
      <c r="D226" t="s">
        <v>13</v>
      </c>
      <c r="E226" t="s">
        <v>42</v>
      </c>
      <c r="F226" t="s">
        <v>15</v>
      </c>
      <c r="G226" t="s">
        <v>61</v>
      </c>
      <c r="H226" t="s">
        <v>421</v>
      </c>
      <c r="I226" t="str">
        <f t="shared" si="26"/>
        <v>Falabella</v>
      </c>
      <c r="J226" t="str">
        <f t="shared" si="29"/>
        <v>AltoLasCondes</v>
      </c>
      <c r="K226" t="str">
        <f t="shared" si="30"/>
        <v>MasterCard</v>
      </c>
      <c r="L226" t="str" cm="1">
        <f t="array" ref="L226">_xlfn.IFS(J226="AltoLasCondes","MallAltoLasCondes",J226="MallPlazaEgaña","MallPlazaEgana",J226="CencoMallCostanera","CostaneraCenter", TRUE,J226)</f>
        <v>MallAltoLasCondes</v>
      </c>
      <c r="M226" t="str">
        <f t="shared" si="27"/>
        <v>MasterCard</v>
      </c>
      <c r="N226" t="str">
        <f t="shared" ref="N226:N227" si="32">LEFT(H226,3)</f>
        <v>AUX</v>
      </c>
    </row>
    <row r="227" spans="1:14" x14ac:dyDescent="0.2">
      <c r="A227" t="s">
        <v>6</v>
      </c>
      <c r="B227" t="str" cm="1">
        <f t="array" ref="B227:C227">_xlfn.TEXTSPLIT(A227,"_")</f>
        <v>Kobe</v>
      </c>
      <c r="C227" t="str">
        <v>Higgins</v>
      </c>
      <c r="D227" t="s">
        <v>102</v>
      </c>
      <c r="E227" t="s">
        <v>126</v>
      </c>
      <c r="F227" t="s">
        <v>52</v>
      </c>
      <c r="G227" t="s">
        <v>264</v>
      </c>
      <c r="H227" t="s">
        <v>422</v>
      </c>
      <c r="I227" t="str">
        <f t="shared" si="26"/>
        <v>Paris</v>
      </c>
      <c r="J227" t="str">
        <f t="shared" si="29"/>
        <v>MallAltoLasCondes</v>
      </c>
      <c r="K227" t="str">
        <f t="shared" si="30"/>
        <v>Visa</v>
      </c>
      <c r="L227" t="str" cm="1">
        <f t="array" ref="L227">_xlfn.IFS(J227="AltoLasCondes","MallAltoLasCondes",J227="MallPlazaEgaña","MallPlazaEgana",J227="CencoMallCostanera","CostaneraCenter", TRUE,J227)</f>
        <v>MallAltoLasCondes</v>
      </c>
      <c r="M227" t="str">
        <f t="shared" si="27"/>
        <v>Visa</v>
      </c>
      <c r="N227" t="str">
        <f t="shared" si="32"/>
        <v>AUX</v>
      </c>
    </row>
    <row r="228" spans="1:14" x14ac:dyDescent="0.2">
      <c r="A228" t="s">
        <v>105</v>
      </c>
      <c r="B228" t="str" cm="1">
        <f t="array" ref="B228:C228">_xlfn.TEXTSPLIT(A228,"_")</f>
        <v>Camila</v>
      </c>
      <c r="C228" t="str">
        <v>Errázuriz</v>
      </c>
      <c r="D228" t="s">
        <v>129</v>
      </c>
      <c r="E228" t="s">
        <v>126</v>
      </c>
      <c r="F228" t="s">
        <v>87</v>
      </c>
      <c r="G228" t="s">
        <v>423</v>
      </c>
      <c r="H228" t="s">
        <v>424</v>
      </c>
      <c r="I228" t="str">
        <f t="shared" si="26"/>
        <v>SantaIsabel</v>
      </c>
      <c r="J228" t="str">
        <f t="shared" si="29"/>
        <v>MallAltoLasCondes</v>
      </c>
      <c r="K228" t="str">
        <f t="shared" si="30"/>
        <v>Visa</v>
      </c>
      <c r="L228" t="str" cm="1">
        <f t="array" ref="L228">_xlfn.IFS(J228="AltoLasCondes","MallAltoLasCondes",J228="MallPlazaEgaña","MallPlazaEgana",J228="CencoMallCostanera","CostaneraCenter", TRUE,J228)</f>
        <v>MallAltoLasCondes</v>
      </c>
      <c r="M228" t="str">
        <f t="shared" si="27"/>
        <v>Visa</v>
      </c>
    </row>
    <row r="229" spans="1:14" x14ac:dyDescent="0.2">
      <c r="A229" t="s">
        <v>24</v>
      </c>
      <c r="B229" t="str" cm="1">
        <f t="array" ref="B229:C229">_xlfn.TEXTSPLIT(A229,"_")</f>
        <v>Dante</v>
      </c>
      <c r="C229" t="str">
        <v>Morrow</v>
      </c>
      <c r="D229" t="s">
        <v>7</v>
      </c>
      <c r="E229" t="s">
        <v>51</v>
      </c>
      <c r="F229" t="s">
        <v>147</v>
      </c>
      <c r="G229" t="s">
        <v>425</v>
      </c>
      <c r="H229" t="s">
        <v>426</v>
      </c>
      <c r="I229" t="str">
        <f t="shared" si="26"/>
        <v>Zara</v>
      </c>
      <c r="J229" t="str">
        <f t="shared" si="29"/>
        <v>MallplazaVespucio</v>
      </c>
      <c r="K229" t="str">
        <f t="shared" si="30"/>
        <v>Americanexpress</v>
      </c>
      <c r="L229" t="str" cm="1">
        <f t="array" ref="L229">_xlfn.IFS(J229="AltoLasCondes","MallAltoLasCondes",J229="MallPlazaEgaña","MallPlazaEgana",J229="CencoMallCostanera","CostaneraCenter", TRUE,J229)</f>
        <v>MallplazaVespucio</v>
      </c>
      <c r="M229" t="str">
        <f t="shared" si="27"/>
        <v>Americanexpress</v>
      </c>
    </row>
    <row r="230" spans="1:14" x14ac:dyDescent="0.2">
      <c r="A230" t="s">
        <v>172</v>
      </c>
      <c r="B230" t="str" cm="1">
        <f t="array" ref="B230:C230">_xlfn.TEXTSPLIT(A230,"_")</f>
        <v>Mila</v>
      </c>
      <c r="C230" t="str">
        <v>Rivers</v>
      </c>
      <c r="D230" t="s">
        <v>102</v>
      </c>
      <c r="E230" t="s">
        <v>59</v>
      </c>
      <c r="F230" t="s">
        <v>36</v>
      </c>
      <c r="G230" t="s">
        <v>181</v>
      </c>
      <c r="H230" t="s">
        <v>427</v>
      </c>
      <c r="I230" t="str">
        <f t="shared" si="26"/>
        <v>Paris</v>
      </c>
      <c r="J230" t="str">
        <f t="shared" si="29"/>
        <v>AltoLasCondes</v>
      </c>
      <c r="K230" t="str">
        <f t="shared" si="30"/>
        <v>MasterCard</v>
      </c>
      <c r="L230" t="str" cm="1">
        <f t="array" ref="L230">_xlfn.IFS(J230="AltoLasCondes","MallAltoLasCondes",J230="MallPlazaEgaña","MallPlazaEgana",J230="CencoMallCostanera","CostaneraCenter", TRUE,J230)</f>
        <v>MallAltoLasCondes</v>
      </c>
      <c r="M230" t="str">
        <f t="shared" si="27"/>
        <v>MasterCard</v>
      </c>
    </row>
    <row r="231" spans="1:14" x14ac:dyDescent="0.2">
      <c r="A231" t="s">
        <v>6</v>
      </c>
      <c r="B231" t="str" cm="1">
        <f t="array" ref="B231:C231">_xlfn.TEXTSPLIT(A231,"_")</f>
        <v>Kobe</v>
      </c>
      <c r="C231" t="str">
        <v>Higgins</v>
      </c>
      <c r="D231" t="s">
        <v>78</v>
      </c>
      <c r="E231" t="s">
        <v>59</v>
      </c>
      <c r="F231" t="s">
        <v>21</v>
      </c>
      <c r="G231" t="s">
        <v>32</v>
      </c>
      <c r="H231" t="s">
        <v>428</v>
      </c>
      <c r="I231" t="str">
        <f t="shared" si="26"/>
        <v>SantaIsabel</v>
      </c>
      <c r="J231" t="str">
        <f t="shared" si="29"/>
        <v>AltoLasCondes</v>
      </c>
      <c r="K231" t="str">
        <f t="shared" si="30"/>
        <v>Visa</v>
      </c>
      <c r="L231" t="str" cm="1">
        <f t="array" ref="L231">_xlfn.IFS(J231="AltoLasCondes","MallAltoLasCondes",J231="MallPlazaEgaña","MallPlazaEgana",J231="CencoMallCostanera","CostaneraCenter", TRUE,J231)</f>
        <v>MallAltoLasCondes</v>
      </c>
      <c r="M231" t="str">
        <f t="shared" si="27"/>
        <v>Visa</v>
      </c>
    </row>
    <row r="232" spans="1:14" x14ac:dyDescent="0.2">
      <c r="A232" t="s">
        <v>159</v>
      </c>
      <c r="B232" t="str" cm="1">
        <f t="array" ref="B232:C232">_xlfn.TEXTSPLIT(A232,"_")</f>
        <v>Tomás</v>
      </c>
      <c r="C232" t="str">
        <v>Guzmán</v>
      </c>
      <c r="D232" t="s">
        <v>197</v>
      </c>
      <c r="E232" t="s">
        <v>42</v>
      </c>
      <c r="F232" t="s">
        <v>244</v>
      </c>
      <c r="G232" t="s">
        <v>181</v>
      </c>
      <c r="H232" t="s">
        <v>429</v>
      </c>
      <c r="I232" t="str">
        <f t="shared" si="26"/>
        <v>Ripley</v>
      </c>
      <c r="J232" t="str">
        <f t="shared" si="29"/>
        <v>AltoLasCondes</v>
      </c>
      <c r="K232" t="str">
        <f t="shared" si="30"/>
        <v>Debito</v>
      </c>
      <c r="L232" t="str" cm="1">
        <f t="array" ref="L232">_xlfn.IFS(J232="AltoLasCondes","MallAltoLasCondes",J232="MallPlazaEgaña","MallPlazaEgana",J232="CencoMallCostanera","CostaneraCenter", TRUE,J232)</f>
        <v>MallAltoLasCondes</v>
      </c>
      <c r="M232" t="str">
        <f t="shared" si="27"/>
        <v>Debito</v>
      </c>
    </row>
    <row r="233" spans="1:14" x14ac:dyDescent="0.2">
      <c r="A233" t="s">
        <v>29</v>
      </c>
      <c r="B233" t="str" cm="1">
        <f t="array" ref="B233:C233">_xlfn.TEXTSPLIT(A233,"_")</f>
        <v>Lucas</v>
      </c>
      <c r="C233" t="str">
        <v>Echeverría</v>
      </c>
      <c r="D233" t="s">
        <v>30</v>
      </c>
      <c r="E233" t="s">
        <v>83</v>
      </c>
      <c r="F233" t="s">
        <v>75</v>
      </c>
      <c r="G233" t="s">
        <v>132</v>
      </c>
      <c r="H233" t="s">
        <v>430</v>
      </c>
      <c r="I233" t="str">
        <f t="shared" si="26"/>
        <v>Jumbo</v>
      </c>
      <c r="J233" t="str">
        <f t="shared" si="29"/>
        <v>MallplazaEgaña</v>
      </c>
      <c r="K233" t="str">
        <f t="shared" si="30"/>
        <v>Debito</v>
      </c>
      <c r="L233" t="str" cm="1">
        <f t="array" ref="L233">_xlfn.IFS(J233="AltoLasCondes","MallAltoLasCondes",J233="MallPlazaEgaña","MallPlazaEgana",J233="CencoMallCostanera","CostaneraCenter", TRUE,J233)</f>
        <v>MallPlazaEgana</v>
      </c>
      <c r="M233" t="str">
        <f t="shared" si="27"/>
        <v>Debito</v>
      </c>
    </row>
    <row r="234" spans="1:14" x14ac:dyDescent="0.2">
      <c r="A234" t="s">
        <v>95</v>
      </c>
      <c r="B234" t="str" cm="1">
        <f t="array" ref="B234:C234">_xlfn.TEXTSPLIT(A234,"_")</f>
        <v>Javiera</v>
      </c>
      <c r="C234" t="str">
        <v>Lorca</v>
      </c>
      <c r="D234" t="s">
        <v>102</v>
      </c>
      <c r="E234" t="s">
        <v>14</v>
      </c>
      <c r="F234" t="s">
        <v>26</v>
      </c>
      <c r="G234" t="s">
        <v>198</v>
      </c>
      <c r="H234" t="s">
        <v>431</v>
      </c>
      <c r="I234" t="str">
        <f t="shared" si="26"/>
        <v>Paris</v>
      </c>
      <c r="J234" t="str">
        <f t="shared" si="29"/>
        <v>MallPlazaEgaña</v>
      </c>
      <c r="K234" t="str">
        <f t="shared" si="30"/>
        <v>AmericanExpress</v>
      </c>
      <c r="L234" t="str" cm="1">
        <f t="array" ref="L234">_xlfn.IFS(J234="AltoLasCondes","MallAltoLasCondes",J234="MallPlazaEgaña","MallPlazaEgana",J234="CencoMallCostanera","CostaneraCenter", TRUE,J234)</f>
        <v>MallPlazaEgana</v>
      </c>
      <c r="M234" t="str">
        <f t="shared" si="27"/>
        <v>AmericanExpress</v>
      </c>
    </row>
    <row r="235" spans="1:14" x14ac:dyDescent="0.2">
      <c r="A235" t="s">
        <v>100</v>
      </c>
      <c r="B235" t="str" cm="1">
        <f t="array" ref="B235:C235">_xlfn.TEXTSPLIT(A235,"_")</f>
        <v>Beckett</v>
      </c>
      <c r="C235" t="str">
        <v>Chase</v>
      </c>
      <c r="D235" t="s">
        <v>295</v>
      </c>
      <c r="E235" t="s">
        <v>14</v>
      </c>
      <c r="F235" t="s">
        <v>9</v>
      </c>
      <c r="G235" t="s">
        <v>286</v>
      </c>
      <c r="H235" t="s">
        <v>432</v>
      </c>
      <c r="I235" t="str">
        <f t="shared" si="26"/>
        <v>Sodimac</v>
      </c>
      <c r="J235" t="str">
        <f t="shared" si="29"/>
        <v>MallPlazaEgaña</v>
      </c>
      <c r="K235" t="str">
        <f t="shared" si="30"/>
        <v>Efectivo</v>
      </c>
      <c r="L235" t="str" cm="1">
        <f t="array" ref="L235">_xlfn.IFS(J235="AltoLasCondes","MallAltoLasCondes",J235="MallPlazaEgaña","MallPlazaEgana",J235="CencoMallCostanera","CostaneraCenter", TRUE,J235)</f>
        <v>MallPlazaEgana</v>
      </c>
      <c r="M235" t="str">
        <f t="shared" si="27"/>
        <v>Efectivo</v>
      </c>
    </row>
    <row r="236" spans="1:14" x14ac:dyDescent="0.2">
      <c r="A236" t="s">
        <v>34</v>
      </c>
      <c r="B236" t="str" cm="1">
        <f t="array" ref="B236:C236">_xlfn.TEXTSPLIT(A236,"_")</f>
        <v>Thaddeus</v>
      </c>
      <c r="C236" t="str">
        <v>Vance</v>
      </c>
      <c r="D236" t="s">
        <v>146</v>
      </c>
      <c r="E236" t="s">
        <v>67</v>
      </c>
      <c r="F236" t="s">
        <v>21</v>
      </c>
      <c r="G236" t="s">
        <v>210</v>
      </c>
      <c r="H236" t="s">
        <v>433</v>
      </c>
      <c r="I236" t="str">
        <f t="shared" si="26"/>
        <v>H&amp;M</v>
      </c>
      <c r="J236" t="str">
        <f t="shared" si="29"/>
        <v>CencoMallCostanera</v>
      </c>
      <c r="K236" t="str">
        <f t="shared" si="30"/>
        <v>Visa</v>
      </c>
      <c r="L236" t="str" cm="1">
        <f t="array" ref="L236">_xlfn.IFS(J236="AltoLasCondes","MallAltoLasCondes",J236="MallPlazaEgaña","MallPlazaEgana",J236="CencoMallCostanera","CostaneraCenter", TRUE,J236)</f>
        <v>CostaneraCenter</v>
      </c>
      <c r="M236" t="str">
        <f t="shared" si="27"/>
        <v>Visa</v>
      </c>
    </row>
    <row r="237" spans="1:14" x14ac:dyDescent="0.2">
      <c r="A237" t="s">
        <v>6</v>
      </c>
      <c r="B237" t="str" cm="1">
        <f t="array" ref="B237:C237">_xlfn.TEXTSPLIT(A237,"_")</f>
        <v>Kobe</v>
      </c>
      <c r="C237" t="str">
        <v>Higgins</v>
      </c>
      <c r="D237" t="s">
        <v>96</v>
      </c>
      <c r="E237" t="s">
        <v>25</v>
      </c>
      <c r="F237" t="s">
        <v>130</v>
      </c>
      <c r="G237" t="s">
        <v>284</v>
      </c>
      <c r="H237" t="s">
        <v>434</v>
      </c>
      <c r="I237" t="str">
        <f t="shared" si="26"/>
        <v>SodimacHomecenter</v>
      </c>
      <c r="J237" t="str">
        <f t="shared" si="29"/>
        <v>MallParqueArauco</v>
      </c>
      <c r="K237" t="str">
        <f t="shared" si="30"/>
        <v>MasterCard</v>
      </c>
      <c r="L237" t="str" cm="1">
        <f t="array" ref="L237">_xlfn.IFS(J237="AltoLasCondes","MallAltoLasCondes",J237="MallPlazaEgaña","MallPlazaEgana",J237="CencoMallCostanera","CostaneraCenter", TRUE,J237)</f>
        <v>MallParqueArauco</v>
      </c>
      <c r="M237" t="str">
        <f t="shared" si="27"/>
        <v>MasterCard</v>
      </c>
    </row>
    <row r="238" spans="1:14" x14ac:dyDescent="0.2">
      <c r="A238" t="s">
        <v>124</v>
      </c>
      <c r="B238" t="str" cm="1">
        <f t="array" ref="B238:C238">_xlfn.TEXTSPLIT(A238,"_")</f>
        <v>Ignacio</v>
      </c>
      <c r="C238" t="str">
        <v>Reyes</v>
      </c>
      <c r="D238" t="s">
        <v>197</v>
      </c>
      <c r="E238" t="s">
        <v>8</v>
      </c>
      <c r="F238" t="s">
        <v>75</v>
      </c>
      <c r="G238" t="s">
        <v>230</v>
      </c>
      <c r="H238" t="s">
        <v>435</v>
      </c>
      <c r="I238" t="str">
        <f t="shared" si="26"/>
        <v>Ripley</v>
      </c>
      <c r="J238" t="str">
        <f t="shared" si="29"/>
        <v>MallPlazaVespucio</v>
      </c>
      <c r="K238" t="str">
        <f t="shared" si="30"/>
        <v>Debito</v>
      </c>
      <c r="L238" t="str" cm="1">
        <f t="array" ref="L238">_xlfn.IFS(J238="AltoLasCondes","MallAltoLasCondes",J238="MallPlazaEgaña","MallPlazaEgana",J238="CencoMallCostanera","CostaneraCenter", TRUE,J238)</f>
        <v>MallPlazaVespucio</v>
      </c>
      <c r="M238" t="str">
        <f t="shared" si="27"/>
        <v>Debito</v>
      </c>
    </row>
    <row r="239" spans="1:14" x14ac:dyDescent="0.2">
      <c r="A239" t="s">
        <v>114</v>
      </c>
      <c r="B239" t="str" cm="1">
        <f t="array" ref="B239:C239">_xlfn.TEXTSPLIT(A239,"_")</f>
        <v>Joaquín</v>
      </c>
      <c r="C239" t="str">
        <v>Zañartu</v>
      </c>
      <c r="D239" t="s">
        <v>190</v>
      </c>
      <c r="E239" t="s">
        <v>126</v>
      </c>
      <c r="F239" t="s">
        <v>21</v>
      </c>
      <c r="G239" t="s">
        <v>258</v>
      </c>
      <c r="H239" t="s">
        <v>436</v>
      </c>
      <c r="I239" t="str">
        <f t="shared" si="26"/>
        <v>SantaIsabel</v>
      </c>
      <c r="J239" t="str">
        <f t="shared" si="29"/>
        <v>MallAltoLasCondes</v>
      </c>
      <c r="K239" t="str">
        <f t="shared" si="30"/>
        <v>Visa</v>
      </c>
      <c r="L239" t="str" cm="1">
        <f t="array" ref="L239">_xlfn.IFS(J239="AltoLasCondes","MallAltoLasCondes",J239="MallPlazaEgaña","MallPlazaEgana",J239="CencoMallCostanera","CostaneraCenter", TRUE,J239)</f>
        <v>MallAltoLasCondes</v>
      </c>
      <c r="M239" t="str">
        <f t="shared" si="27"/>
        <v>Visa</v>
      </c>
    </row>
    <row r="240" spans="1:14" x14ac:dyDescent="0.2">
      <c r="A240" t="s">
        <v>89</v>
      </c>
      <c r="B240" t="str" cm="1">
        <f t="array" ref="B240:C240">_xlfn.TEXTSPLIT(A240,"_")</f>
        <v>Seraphina</v>
      </c>
      <c r="C240" t="str">
        <v>Moon</v>
      </c>
      <c r="D240" t="s">
        <v>19</v>
      </c>
      <c r="E240" t="s">
        <v>121</v>
      </c>
      <c r="F240" t="s">
        <v>134</v>
      </c>
      <c r="G240" t="s">
        <v>93</v>
      </c>
      <c r="H240" t="s">
        <v>437</v>
      </c>
      <c r="I240" t="str">
        <f t="shared" si="26"/>
        <v>Falabella</v>
      </c>
      <c r="J240" t="str">
        <f t="shared" si="29"/>
        <v>CostaneraCenter</v>
      </c>
      <c r="K240" t="str">
        <f t="shared" si="30"/>
        <v>AmericanExpress</v>
      </c>
      <c r="L240" t="str" cm="1">
        <f t="array" ref="L240">_xlfn.IFS(J240="AltoLasCondes","MallAltoLasCondes",J240="MallPlazaEgaña","MallPlazaEgana",J240="CencoMallCostanera","CostaneraCenter", TRUE,J240)</f>
        <v>CostaneraCenter</v>
      </c>
      <c r="M240" t="str">
        <f t="shared" si="27"/>
        <v>AmericanExpress</v>
      </c>
      <c r="N240" t="str">
        <f t="shared" ref="N240:N241" si="33">LEFT(H240,3)</f>
        <v>RET</v>
      </c>
    </row>
    <row r="241" spans="1:14" x14ac:dyDescent="0.2">
      <c r="A241" t="s">
        <v>351</v>
      </c>
      <c r="B241" t="str" cm="1">
        <f t="array" ref="B241:C241">_xlfn.TEXTSPLIT(A241,"_")</f>
        <v>Matías</v>
      </c>
      <c r="C241" t="str">
        <v>Lira</v>
      </c>
      <c r="D241" t="s">
        <v>13</v>
      </c>
      <c r="E241" t="s">
        <v>121</v>
      </c>
      <c r="F241" t="s">
        <v>15</v>
      </c>
      <c r="G241" t="s">
        <v>258</v>
      </c>
      <c r="H241" t="s">
        <v>438</v>
      </c>
      <c r="I241" t="str">
        <f t="shared" si="26"/>
        <v>Falabella</v>
      </c>
      <c r="J241" t="str">
        <f t="shared" si="29"/>
        <v>CostaneraCenter</v>
      </c>
      <c r="K241" t="str">
        <f t="shared" si="30"/>
        <v>MasterCard</v>
      </c>
      <c r="L241" t="str" cm="1">
        <f t="array" ref="L241">_xlfn.IFS(J241="AltoLasCondes","MallAltoLasCondes",J241="MallPlazaEgaña","MallPlazaEgana",J241="CencoMallCostanera","CostaneraCenter", TRUE,J241)</f>
        <v>CostaneraCenter</v>
      </c>
      <c r="M241" t="str">
        <f t="shared" si="27"/>
        <v>MasterCard</v>
      </c>
      <c r="N241" t="str">
        <f t="shared" si="33"/>
        <v>RET</v>
      </c>
    </row>
    <row r="242" spans="1:14" x14ac:dyDescent="0.2">
      <c r="A242" t="s">
        <v>100</v>
      </c>
      <c r="B242" t="str" cm="1">
        <f t="array" ref="B242:C242">_xlfn.TEXTSPLIT(A242,"_")</f>
        <v>Beckett</v>
      </c>
      <c r="C242" t="str">
        <v>Chase</v>
      </c>
      <c r="D242" t="s">
        <v>50</v>
      </c>
      <c r="E242" t="s">
        <v>8</v>
      </c>
      <c r="F242" t="s">
        <v>87</v>
      </c>
      <c r="G242" t="s">
        <v>109</v>
      </c>
      <c r="H242" t="s">
        <v>439</v>
      </c>
      <c r="I242" t="str">
        <f t="shared" si="26"/>
        <v>Easy</v>
      </c>
      <c r="J242" t="str">
        <f t="shared" si="29"/>
        <v>MallPlazaVespucio</v>
      </c>
      <c r="K242" t="str">
        <f t="shared" si="30"/>
        <v>Visa</v>
      </c>
      <c r="L242" t="str" cm="1">
        <f t="array" ref="L242">_xlfn.IFS(J242="AltoLasCondes","MallAltoLasCondes",J242="MallPlazaEgaña","MallPlazaEgana",J242="CencoMallCostanera","CostaneraCenter", TRUE,J242)</f>
        <v>MallPlazaVespucio</v>
      </c>
      <c r="M242" t="str">
        <f t="shared" si="27"/>
        <v>Visa</v>
      </c>
    </row>
    <row r="243" spans="1:14" x14ac:dyDescent="0.2">
      <c r="A243" t="s">
        <v>180</v>
      </c>
      <c r="B243" t="str" cm="1">
        <f t="array" ref="B243:C243">_xlfn.TEXTSPLIT(A243,"_")</f>
        <v>Florencia</v>
      </c>
      <c r="C243" t="str">
        <v>Matte</v>
      </c>
      <c r="D243" t="s">
        <v>46</v>
      </c>
      <c r="E243" t="s">
        <v>79</v>
      </c>
      <c r="F243" t="s">
        <v>92</v>
      </c>
      <c r="G243" t="s">
        <v>307</v>
      </c>
      <c r="H243" t="s">
        <v>440</v>
      </c>
      <c r="I243" t="str">
        <f t="shared" si="26"/>
        <v>Easy</v>
      </c>
      <c r="J243" t="str">
        <f t="shared" si="29"/>
        <v>ParqueArauco</v>
      </c>
      <c r="K243" t="str">
        <f t="shared" si="30"/>
        <v>Efectivo</v>
      </c>
      <c r="L243" t="str" cm="1">
        <f t="array" ref="L243">_xlfn.IFS(J243="AltoLasCondes","MallAltoLasCondes",J243="MallPlazaEgaña","MallPlazaEgana",J243="CencoMallCostanera","CostaneraCenter", TRUE,J243)</f>
        <v>ParqueArauco</v>
      </c>
      <c r="M243" t="str">
        <f t="shared" si="27"/>
        <v>Efectivo</v>
      </c>
    </row>
    <row r="244" spans="1:14" x14ac:dyDescent="0.2">
      <c r="A244" t="s">
        <v>159</v>
      </c>
      <c r="B244" t="str" cm="1">
        <f t="array" ref="B244:C244">_xlfn.TEXTSPLIT(A244,"_")</f>
        <v>Tomás</v>
      </c>
      <c r="C244" t="str">
        <v>Guzmán</v>
      </c>
      <c r="D244" t="s">
        <v>63</v>
      </c>
      <c r="E244" t="s">
        <v>8</v>
      </c>
      <c r="F244" t="s">
        <v>36</v>
      </c>
      <c r="G244" t="s">
        <v>160</v>
      </c>
      <c r="H244" t="s">
        <v>441</v>
      </c>
      <c r="I244" t="str">
        <f t="shared" si="26"/>
        <v>H&amp;M</v>
      </c>
      <c r="J244" t="str">
        <f t="shared" si="29"/>
        <v>MallPlazaVespucio</v>
      </c>
      <c r="K244" t="str">
        <f t="shared" si="30"/>
        <v>MasterCard</v>
      </c>
      <c r="L244" t="str" cm="1">
        <f t="array" ref="L244">_xlfn.IFS(J244="AltoLasCondes","MallAltoLasCondes",J244="MallPlazaEgaña","MallPlazaEgana",J244="CencoMallCostanera","CostaneraCenter", TRUE,J244)</f>
        <v>MallPlazaVespucio</v>
      </c>
      <c r="M244" t="str">
        <f t="shared" si="27"/>
        <v>MasterCard</v>
      </c>
    </row>
    <row r="245" spans="1:14" x14ac:dyDescent="0.2">
      <c r="A245" t="s">
        <v>105</v>
      </c>
      <c r="B245" t="str" cm="1">
        <f t="array" ref="B245:C245">_xlfn.TEXTSPLIT(A245,"_")</f>
        <v>Camila</v>
      </c>
      <c r="C245" t="str">
        <v>Errázuriz</v>
      </c>
      <c r="D245" t="s">
        <v>129</v>
      </c>
      <c r="E245" t="s">
        <v>79</v>
      </c>
      <c r="F245" t="s">
        <v>244</v>
      </c>
      <c r="G245" t="s">
        <v>442</v>
      </c>
      <c r="H245" t="s">
        <v>443</v>
      </c>
      <c r="I245" t="str">
        <f t="shared" si="26"/>
        <v>SantaIsabel</v>
      </c>
      <c r="J245" t="str">
        <f t="shared" si="29"/>
        <v>ParqueArauco</v>
      </c>
      <c r="K245" t="str">
        <f t="shared" si="30"/>
        <v>Debito</v>
      </c>
      <c r="L245" t="str" cm="1">
        <f t="array" ref="L245">_xlfn.IFS(J245="AltoLasCondes","MallAltoLasCondes",J245="MallPlazaEgaña","MallPlazaEgana",J245="CencoMallCostanera","CostaneraCenter", TRUE,J245)</f>
        <v>ParqueArauco</v>
      </c>
      <c r="M245" t="str">
        <f t="shared" si="27"/>
        <v>Debito</v>
      </c>
    </row>
    <row r="246" spans="1:14" x14ac:dyDescent="0.2">
      <c r="A246" t="s">
        <v>34</v>
      </c>
      <c r="B246" t="str" cm="1">
        <f t="array" ref="B246:C246">_xlfn.TEXTSPLIT(A246,"_")</f>
        <v>Thaddeus</v>
      </c>
      <c r="C246" t="str">
        <v>Vance</v>
      </c>
      <c r="D246" t="s">
        <v>102</v>
      </c>
      <c r="E246" t="s">
        <v>121</v>
      </c>
      <c r="F246" t="s">
        <v>60</v>
      </c>
      <c r="G246" t="s">
        <v>226</v>
      </c>
      <c r="H246" t="s">
        <v>444</v>
      </c>
      <c r="I246" t="str">
        <f t="shared" si="26"/>
        <v>Paris</v>
      </c>
      <c r="J246" t="str">
        <f t="shared" si="29"/>
        <v>CostaneraCenter</v>
      </c>
      <c r="K246" t="str">
        <f t="shared" si="30"/>
        <v>Debito</v>
      </c>
      <c r="L246" t="str" cm="1">
        <f t="array" ref="L246">_xlfn.IFS(J246="AltoLasCondes","MallAltoLasCondes",J246="MallPlazaEgaña","MallPlazaEgana",J246="CencoMallCostanera","CostaneraCenter", TRUE,J246)</f>
        <v>CostaneraCenter</v>
      </c>
      <c r="M246" t="str">
        <f t="shared" si="27"/>
        <v>Debito</v>
      </c>
    </row>
    <row r="247" spans="1:14" x14ac:dyDescent="0.2">
      <c r="A247" t="s">
        <v>124</v>
      </c>
      <c r="B247" t="str" cm="1">
        <f t="array" ref="B247:C247">_xlfn.TEXTSPLIT(A247,"_")</f>
        <v>Ignacio</v>
      </c>
      <c r="C247" t="str">
        <v>Reyes</v>
      </c>
      <c r="D247" t="s">
        <v>167</v>
      </c>
      <c r="E247" t="s">
        <v>59</v>
      </c>
      <c r="F247" t="s">
        <v>147</v>
      </c>
      <c r="G247" t="s">
        <v>288</v>
      </c>
      <c r="H247" t="s">
        <v>445</v>
      </c>
      <c r="I247" t="str">
        <f t="shared" si="26"/>
        <v>Jumbo</v>
      </c>
      <c r="J247" t="str">
        <f t="shared" si="29"/>
        <v>AltoLasCondes</v>
      </c>
      <c r="K247" t="str">
        <f t="shared" si="30"/>
        <v>Americanexpress</v>
      </c>
      <c r="L247" t="str" cm="1">
        <f t="array" ref="L247">_xlfn.IFS(J247="AltoLasCondes","MallAltoLasCondes",J247="MallPlazaEgaña","MallPlazaEgana",J247="CencoMallCostanera","CostaneraCenter", TRUE,J247)</f>
        <v>MallAltoLasCondes</v>
      </c>
      <c r="M247" t="str">
        <f t="shared" si="27"/>
        <v>Americanexpress</v>
      </c>
    </row>
    <row r="248" spans="1:14" x14ac:dyDescent="0.2">
      <c r="A248" t="s">
        <v>24</v>
      </c>
      <c r="B248" t="str" cm="1">
        <f t="array" ref="B248:C248">_xlfn.TEXTSPLIT(A248,"_")</f>
        <v>Dante</v>
      </c>
      <c r="C248" t="str">
        <v>Morrow</v>
      </c>
      <c r="D248" t="s">
        <v>74</v>
      </c>
      <c r="E248" t="s">
        <v>14</v>
      </c>
      <c r="F248" t="s">
        <v>21</v>
      </c>
      <c r="G248" t="s">
        <v>425</v>
      </c>
      <c r="H248" t="s">
        <v>446</v>
      </c>
      <c r="I248" t="str">
        <f t="shared" si="26"/>
        <v>Jumbo</v>
      </c>
      <c r="J248" t="str">
        <f t="shared" si="29"/>
        <v>MallPlazaEgaña</v>
      </c>
      <c r="K248" t="str">
        <f t="shared" si="30"/>
        <v>Visa</v>
      </c>
      <c r="L248" t="str" cm="1">
        <f t="array" ref="L248">_xlfn.IFS(J248="AltoLasCondes","MallAltoLasCondes",J248="MallPlazaEgaña","MallPlazaEgana",J248="CencoMallCostanera","CostaneraCenter", TRUE,J248)</f>
        <v>MallPlazaEgana</v>
      </c>
      <c r="M248" t="str">
        <f t="shared" si="27"/>
        <v>Visa</v>
      </c>
    </row>
    <row r="249" spans="1:14" x14ac:dyDescent="0.2">
      <c r="A249" t="s">
        <v>162</v>
      </c>
      <c r="B249" t="str" cm="1">
        <f t="array" ref="B249:C249">_xlfn.TEXTSPLIT(A249,"_")</f>
        <v>Elaina</v>
      </c>
      <c r="C249" t="str">
        <v>Giles</v>
      </c>
      <c r="D249" t="s">
        <v>295</v>
      </c>
      <c r="E249" t="s">
        <v>25</v>
      </c>
      <c r="F249" t="s">
        <v>75</v>
      </c>
      <c r="G249" t="s">
        <v>282</v>
      </c>
      <c r="H249" t="s">
        <v>447</v>
      </c>
      <c r="I249" t="str">
        <f t="shared" si="26"/>
        <v>Sodimac</v>
      </c>
      <c r="J249" t="str">
        <f t="shared" si="29"/>
        <v>MallParqueArauco</v>
      </c>
      <c r="K249" t="str">
        <f t="shared" si="30"/>
        <v>Debito</v>
      </c>
      <c r="L249" t="str" cm="1">
        <f t="array" ref="L249">_xlfn.IFS(J249="AltoLasCondes","MallAltoLasCondes",J249="MallPlazaEgaña","MallPlazaEgana",J249="CencoMallCostanera","CostaneraCenter", TRUE,J249)</f>
        <v>MallParqueArauco</v>
      </c>
      <c r="M249" t="str">
        <f t="shared" si="27"/>
        <v>Debito</v>
      </c>
    </row>
    <row r="250" spans="1:14" x14ac:dyDescent="0.2">
      <c r="A250" t="s">
        <v>89</v>
      </c>
      <c r="B250" t="str" cm="1">
        <f t="array" ref="B250:C250">_xlfn.TEXTSPLIT(A250,"_")</f>
        <v>Seraphina</v>
      </c>
      <c r="C250" t="str">
        <v>Moon</v>
      </c>
      <c r="D250" t="s">
        <v>7</v>
      </c>
      <c r="E250" t="s">
        <v>42</v>
      </c>
      <c r="F250" t="s">
        <v>60</v>
      </c>
      <c r="G250" t="s">
        <v>324</v>
      </c>
      <c r="H250" t="s">
        <v>448</v>
      </c>
      <c r="I250" t="str">
        <f t="shared" si="26"/>
        <v>Zara</v>
      </c>
      <c r="J250" t="str">
        <f t="shared" si="29"/>
        <v>AltoLasCondes</v>
      </c>
      <c r="K250" t="str">
        <f t="shared" si="30"/>
        <v>Debito</v>
      </c>
      <c r="L250" t="str" cm="1">
        <f t="array" ref="L250">_xlfn.IFS(J250="AltoLasCondes","MallAltoLasCondes",J250="MallPlazaEgaña","MallPlazaEgana",J250="CencoMallCostanera","CostaneraCenter", TRUE,J250)</f>
        <v>MallAltoLasCondes</v>
      </c>
      <c r="M250" t="str">
        <f t="shared" si="27"/>
        <v>Debito</v>
      </c>
    </row>
    <row r="251" spans="1:14" x14ac:dyDescent="0.2">
      <c r="A251" t="s">
        <v>12</v>
      </c>
      <c r="B251" t="str" cm="1">
        <f t="array" ref="B251:C251">_xlfn.TEXTSPLIT(A251,"_")</f>
        <v>Antonia</v>
      </c>
      <c r="C251" t="str">
        <v>Prieto</v>
      </c>
      <c r="D251" t="s">
        <v>50</v>
      </c>
      <c r="E251" t="s">
        <v>79</v>
      </c>
      <c r="F251" t="s">
        <v>26</v>
      </c>
      <c r="G251" t="s">
        <v>177</v>
      </c>
      <c r="H251" t="s">
        <v>449</v>
      </c>
      <c r="I251" t="str">
        <f t="shared" si="26"/>
        <v>Easy</v>
      </c>
      <c r="J251" t="str">
        <f t="shared" si="29"/>
        <v>ParqueArauco</v>
      </c>
      <c r="K251" t="str">
        <f t="shared" si="30"/>
        <v>AmericanExpress</v>
      </c>
      <c r="L251" t="str" cm="1">
        <f t="array" ref="L251">_xlfn.IFS(J251="AltoLasCondes","MallAltoLasCondes",J251="MallPlazaEgaña","MallPlazaEgana",J251="CencoMallCostanera","CostaneraCenter", TRUE,J251)</f>
        <v>ParqueArauco</v>
      </c>
      <c r="M251" t="str">
        <f t="shared" si="27"/>
        <v>AmericanExpress</v>
      </c>
    </row>
    <row r="252" spans="1:14" x14ac:dyDescent="0.2">
      <c r="A252" t="s">
        <v>98</v>
      </c>
      <c r="B252" t="str" cm="1">
        <f t="array" ref="B252:C252">_xlfn.TEXTSPLIT(A252,"_")</f>
        <v>Sienna</v>
      </c>
      <c r="C252" t="str">
        <v>Frost</v>
      </c>
      <c r="D252" t="s">
        <v>141</v>
      </c>
      <c r="E252" t="s">
        <v>59</v>
      </c>
      <c r="F252" t="s">
        <v>26</v>
      </c>
      <c r="G252" t="s">
        <v>252</v>
      </c>
      <c r="H252" t="s">
        <v>450</v>
      </c>
      <c r="I252" t="str">
        <f t="shared" si="26"/>
        <v>Easy</v>
      </c>
      <c r="J252" t="str">
        <f t="shared" si="29"/>
        <v>AltoLasCondes</v>
      </c>
      <c r="K252" t="str">
        <f t="shared" si="30"/>
        <v>AmericanExpress</v>
      </c>
      <c r="L252" t="str" cm="1">
        <f t="array" ref="L252">_xlfn.IFS(J252="AltoLasCondes","MallAltoLasCondes",J252="MallPlazaEgaña","MallPlazaEgana",J252="CencoMallCostanera","CostaneraCenter", TRUE,J252)</f>
        <v>MallAltoLasCondes</v>
      </c>
      <c r="M252" t="str">
        <f t="shared" si="27"/>
        <v>AmericanExpress</v>
      </c>
    </row>
    <row r="253" spans="1:14" x14ac:dyDescent="0.2">
      <c r="A253" t="s">
        <v>29</v>
      </c>
      <c r="B253" t="str" cm="1">
        <f t="array" ref="B253:C253">_xlfn.TEXTSPLIT(A253,"_")</f>
        <v>Lucas</v>
      </c>
      <c r="C253" t="str">
        <v>Echeverría</v>
      </c>
      <c r="D253" t="s">
        <v>167</v>
      </c>
      <c r="E253" t="s">
        <v>14</v>
      </c>
      <c r="F253" t="s">
        <v>60</v>
      </c>
      <c r="G253" t="s">
        <v>177</v>
      </c>
      <c r="H253" t="s">
        <v>451</v>
      </c>
      <c r="I253" t="str">
        <f t="shared" si="26"/>
        <v>Jumbo</v>
      </c>
      <c r="J253" t="str">
        <f t="shared" si="29"/>
        <v>MallPlazaEgaña</v>
      </c>
      <c r="K253" t="str">
        <f t="shared" si="30"/>
        <v>Debito</v>
      </c>
      <c r="L253" t="str" cm="1">
        <f t="array" ref="L253">_xlfn.IFS(J253="AltoLasCondes","MallAltoLasCondes",J253="MallPlazaEgaña","MallPlazaEgana",J253="CencoMallCostanera","CostaneraCenter", TRUE,J253)</f>
        <v>MallPlazaEgana</v>
      </c>
      <c r="M253" t="str">
        <f t="shared" si="27"/>
        <v>Debito</v>
      </c>
    </row>
    <row r="254" spans="1:14" x14ac:dyDescent="0.2">
      <c r="A254" t="s">
        <v>172</v>
      </c>
      <c r="B254" t="str" cm="1">
        <f t="array" ref="B254:C254">_xlfn.TEXTSPLIT(A254,"_")</f>
        <v>Mila</v>
      </c>
      <c r="C254" t="str">
        <v>Rivers</v>
      </c>
      <c r="D254" t="s">
        <v>30</v>
      </c>
      <c r="E254" t="s">
        <v>42</v>
      </c>
      <c r="F254" t="s">
        <v>43</v>
      </c>
      <c r="G254" t="s">
        <v>416</v>
      </c>
      <c r="H254" t="s">
        <v>452</v>
      </c>
      <c r="I254" t="str">
        <f t="shared" si="26"/>
        <v>Jumbo</v>
      </c>
      <c r="J254" t="str">
        <f t="shared" si="29"/>
        <v>AltoLasCondes</v>
      </c>
      <c r="K254" t="str">
        <f t="shared" si="30"/>
        <v>Mastercard</v>
      </c>
      <c r="L254" t="str" cm="1">
        <f t="array" ref="L254">_xlfn.IFS(J254="AltoLasCondes","MallAltoLasCondes",J254="MallPlazaEgaña","MallPlazaEgana",J254="CencoMallCostanera","CostaneraCenter", TRUE,J254)</f>
        <v>MallAltoLasCondes</v>
      </c>
      <c r="M254" t="str">
        <f t="shared" si="27"/>
        <v>Mastercard</v>
      </c>
      <c r="N254" t="str">
        <f t="shared" ref="N254:N255" si="34">LEFT(H254,3)</f>
        <v>AUX</v>
      </c>
    </row>
    <row r="255" spans="1:14" x14ac:dyDescent="0.2">
      <c r="A255" t="s">
        <v>89</v>
      </c>
      <c r="B255" t="str" cm="1">
        <f t="array" ref="B255:C255">_xlfn.TEXTSPLIT(A255,"_")</f>
        <v>Seraphina</v>
      </c>
      <c r="C255" t="str">
        <v>Moon</v>
      </c>
      <c r="D255" t="s">
        <v>90</v>
      </c>
      <c r="E255" t="s">
        <v>121</v>
      </c>
      <c r="F255" t="s">
        <v>26</v>
      </c>
      <c r="G255" t="s">
        <v>10</v>
      </c>
      <c r="H255" t="s">
        <v>453</v>
      </c>
      <c r="I255" t="str">
        <f t="shared" si="26"/>
        <v>Paris</v>
      </c>
      <c r="J255" t="str">
        <f t="shared" si="29"/>
        <v>CostaneraCenter</v>
      </c>
      <c r="K255" t="str">
        <f t="shared" si="30"/>
        <v>AmericanExpress</v>
      </c>
      <c r="L255" t="str" cm="1">
        <f t="array" ref="L255">_xlfn.IFS(J255="AltoLasCondes","MallAltoLasCondes",J255="MallPlazaEgaña","MallPlazaEgana",J255="CencoMallCostanera","CostaneraCenter", TRUE,J255)</f>
        <v>CostaneraCenter</v>
      </c>
      <c r="M255" t="str">
        <f t="shared" si="27"/>
        <v>AmericanExpress</v>
      </c>
      <c r="N255" t="str">
        <f t="shared" si="34"/>
        <v>AUX</v>
      </c>
    </row>
    <row r="256" spans="1:14" x14ac:dyDescent="0.2">
      <c r="A256" t="s">
        <v>66</v>
      </c>
      <c r="B256" t="str" cm="1">
        <f t="array" ref="B256:C256">_xlfn.TEXTSPLIT(A256,"_")</f>
        <v>Priscilia</v>
      </c>
      <c r="C256" t="str">
        <v>Welch</v>
      </c>
      <c r="D256" t="s">
        <v>120</v>
      </c>
      <c r="E256" t="s">
        <v>216</v>
      </c>
      <c r="F256" t="s">
        <v>43</v>
      </c>
      <c r="G256" t="s">
        <v>258</v>
      </c>
      <c r="H256" t="s">
        <v>454</v>
      </c>
      <c r="I256" t="str">
        <f t="shared" si="26"/>
        <v>Paris</v>
      </c>
      <c r="J256" t="str">
        <f t="shared" si="29"/>
        <v>MallPlazaEgana</v>
      </c>
      <c r="K256" t="str">
        <f t="shared" si="30"/>
        <v>Mastercard</v>
      </c>
      <c r="L256" t="str" cm="1">
        <f t="array" ref="L256">_xlfn.IFS(J256="AltoLasCondes","MallAltoLasCondes",J256="MallPlazaEgaña","MallPlazaEgana",J256="CencoMallCostanera","CostaneraCenter", TRUE,J256)</f>
        <v>MallPlazaEgana</v>
      </c>
      <c r="M256" t="str">
        <f t="shared" si="27"/>
        <v>Mastercard</v>
      </c>
    </row>
    <row r="257" spans="1:14" x14ac:dyDescent="0.2">
      <c r="A257" t="s">
        <v>100</v>
      </c>
      <c r="B257" t="str" cm="1">
        <f t="array" ref="B257:C257">_xlfn.TEXTSPLIT(A257,"_")</f>
        <v>Beckett</v>
      </c>
      <c r="C257" t="str">
        <v>Chase</v>
      </c>
      <c r="D257" t="s">
        <v>129</v>
      </c>
      <c r="E257" t="s">
        <v>51</v>
      </c>
      <c r="F257" t="s">
        <v>147</v>
      </c>
      <c r="G257" t="s">
        <v>112</v>
      </c>
      <c r="H257" t="s">
        <v>455</v>
      </c>
      <c r="I257" t="str">
        <f t="shared" si="26"/>
        <v>SantaIsabel</v>
      </c>
      <c r="J257" t="str">
        <f t="shared" si="29"/>
        <v>MallplazaVespucio</v>
      </c>
      <c r="K257" t="str">
        <f t="shared" si="30"/>
        <v>Americanexpress</v>
      </c>
      <c r="L257" t="str" cm="1">
        <f t="array" ref="L257">_xlfn.IFS(J257="AltoLasCondes","MallAltoLasCondes",J257="MallPlazaEgaña","MallPlazaEgana",J257="CencoMallCostanera","CostaneraCenter", TRUE,J257)</f>
        <v>MallplazaVespucio</v>
      </c>
      <c r="M257" t="str">
        <f t="shared" si="27"/>
        <v>Americanexpress</v>
      </c>
    </row>
    <row r="258" spans="1:14" x14ac:dyDescent="0.2">
      <c r="A258" t="s">
        <v>95</v>
      </c>
      <c r="B258" t="str" cm="1">
        <f t="array" ref="B258:C258">_xlfn.TEXTSPLIT(A258,"_")</f>
        <v>Javiera</v>
      </c>
      <c r="C258" t="str">
        <v>Lorca</v>
      </c>
      <c r="D258" t="s">
        <v>146</v>
      </c>
      <c r="E258" t="s">
        <v>25</v>
      </c>
      <c r="F258" t="s">
        <v>57</v>
      </c>
      <c r="G258" t="s">
        <v>144</v>
      </c>
      <c r="H258" t="s">
        <v>456</v>
      </c>
      <c r="I258" t="str">
        <f t="shared" si="26"/>
        <v>H&amp;M</v>
      </c>
      <c r="J258" t="str">
        <f t="shared" si="29"/>
        <v>MallParqueArauco</v>
      </c>
      <c r="K258" t="str">
        <f t="shared" si="30"/>
        <v>Efectivo</v>
      </c>
      <c r="L258" t="str" cm="1">
        <f t="array" ref="L258">_xlfn.IFS(J258="AltoLasCondes","MallAltoLasCondes",J258="MallPlazaEgaña","MallPlazaEgana",J258="CencoMallCostanera","CostaneraCenter", TRUE,J258)</f>
        <v>MallParqueArauco</v>
      </c>
      <c r="M258" t="str">
        <f t="shared" si="27"/>
        <v>Efectivo</v>
      </c>
    </row>
    <row r="259" spans="1:14" x14ac:dyDescent="0.2">
      <c r="A259" t="s">
        <v>12</v>
      </c>
      <c r="B259" t="str" cm="1">
        <f t="array" ref="B259:C259">_xlfn.TEXTSPLIT(A259,"_")</f>
        <v>Antonia</v>
      </c>
      <c r="C259" t="str">
        <v>Prieto</v>
      </c>
      <c r="D259" t="s">
        <v>30</v>
      </c>
      <c r="E259" t="s">
        <v>67</v>
      </c>
      <c r="F259" t="s">
        <v>130</v>
      </c>
      <c r="G259" t="s">
        <v>416</v>
      </c>
      <c r="H259" t="s">
        <v>457</v>
      </c>
      <c r="I259" t="str">
        <f t="shared" ref="I259:I301" si="35">SUBSTITUTE(PROPER(TRIM((D259)))," ","")</f>
        <v>Jumbo</v>
      </c>
      <c r="J259" t="str">
        <f t="shared" si="29"/>
        <v>CencoMallCostanera</v>
      </c>
      <c r="K259" t="str">
        <f t="shared" si="30"/>
        <v>MasterCard</v>
      </c>
      <c r="L259" t="str" cm="1">
        <f t="array" ref="L259">_xlfn.IFS(J259="AltoLasCondes","MallAltoLasCondes",J259="MallPlazaEgaña","MallPlazaEgana",J259="CencoMallCostanera","CostaneraCenter", TRUE,J259)</f>
        <v>CostaneraCenter</v>
      </c>
      <c r="M259" t="str">
        <f t="shared" ref="M259:M301" si="36">IF(K259="Débito","Debito",K259)</f>
        <v>MasterCard</v>
      </c>
    </row>
    <row r="260" spans="1:14" x14ac:dyDescent="0.2">
      <c r="A260" t="s">
        <v>215</v>
      </c>
      <c r="B260" t="str" cm="1">
        <f t="array" ref="B260:C260">_xlfn.TEXTSPLIT(A260,"_")</f>
        <v>Cole</v>
      </c>
      <c r="C260" t="str">
        <v>Bray</v>
      </c>
      <c r="D260" t="s">
        <v>102</v>
      </c>
      <c r="E260" t="s">
        <v>79</v>
      </c>
      <c r="F260" t="s">
        <v>26</v>
      </c>
      <c r="G260" t="s">
        <v>177</v>
      </c>
      <c r="H260" t="s">
        <v>458</v>
      </c>
      <c r="I260" t="str">
        <f t="shared" si="35"/>
        <v>Paris</v>
      </c>
      <c r="J260" t="str">
        <f t="shared" si="29"/>
        <v>ParqueArauco</v>
      </c>
      <c r="K260" t="str">
        <f t="shared" si="30"/>
        <v>AmericanExpress</v>
      </c>
      <c r="L260" t="str" cm="1">
        <f t="array" ref="L260">_xlfn.IFS(J260="AltoLasCondes","MallAltoLasCondes",J260="MallPlazaEgaña","MallPlazaEgana",J260="CencoMallCostanera","CostaneraCenter", TRUE,J260)</f>
        <v>ParqueArauco</v>
      </c>
      <c r="M260" t="str">
        <f t="shared" si="36"/>
        <v>AmericanExpress</v>
      </c>
    </row>
    <row r="261" spans="1:14" x14ac:dyDescent="0.2">
      <c r="A261" t="s">
        <v>12</v>
      </c>
      <c r="B261" t="str" cm="1">
        <f t="array" ref="B261:C261">_xlfn.TEXTSPLIT(A261,"_")</f>
        <v>Antonia</v>
      </c>
      <c r="C261" t="str">
        <v>Prieto</v>
      </c>
      <c r="D261" t="s">
        <v>146</v>
      </c>
      <c r="E261" t="s">
        <v>20</v>
      </c>
      <c r="F261" t="s">
        <v>15</v>
      </c>
      <c r="G261" t="s">
        <v>64</v>
      </c>
      <c r="H261" t="s">
        <v>459</v>
      </c>
      <c r="I261" t="str">
        <f t="shared" si="35"/>
        <v>H&amp;M</v>
      </c>
      <c r="J261" t="str">
        <f t="shared" si="29"/>
        <v>MallPlazaVespucio</v>
      </c>
      <c r="K261" t="str">
        <f t="shared" si="30"/>
        <v>MasterCard</v>
      </c>
      <c r="L261" t="str" cm="1">
        <f t="array" ref="L261">_xlfn.IFS(J261="AltoLasCondes","MallAltoLasCondes",J261="MallPlazaEgaña","MallPlazaEgana",J261="CencoMallCostanera","CostaneraCenter", TRUE,J261)</f>
        <v>MallPlazaVespucio</v>
      </c>
      <c r="M261" t="str">
        <f t="shared" si="36"/>
        <v>MasterCard</v>
      </c>
    </row>
    <row r="262" spans="1:14" x14ac:dyDescent="0.2">
      <c r="A262" t="s">
        <v>172</v>
      </c>
      <c r="B262" t="str" cm="1">
        <f t="array" ref="B262:C262">_xlfn.TEXTSPLIT(A262,"_")</f>
        <v>Mila</v>
      </c>
      <c r="C262" t="str">
        <v>Rivers</v>
      </c>
      <c r="D262" t="s">
        <v>90</v>
      </c>
      <c r="E262" t="s">
        <v>8</v>
      </c>
      <c r="F262" t="s">
        <v>21</v>
      </c>
      <c r="G262" t="s">
        <v>148</v>
      </c>
      <c r="H262" t="s">
        <v>460</v>
      </c>
      <c r="I262" t="str">
        <f t="shared" si="35"/>
        <v>Paris</v>
      </c>
      <c r="J262" t="str">
        <f t="shared" si="29"/>
        <v>MallPlazaVespucio</v>
      </c>
      <c r="K262" t="str">
        <f t="shared" si="30"/>
        <v>Visa</v>
      </c>
      <c r="L262" t="str" cm="1">
        <f t="array" ref="L262">_xlfn.IFS(J262="AltoLasCondes","MallAltoLasCondes",J262="MallPlazaEgaña","MallPlazaEgana",J262="CencoMallCostanera","CostaneraCenter", TRUE,J262)</f>
        <v>MallPlazaVespucio</v>
      </c>
      <c r="M262" t="str">
        <f t="shared" si="36"/>
        <v>Visa</v>
      </c>
    </row>
    <row r="263" spans="1:14" x14ac:dyDescent="0.2">
      <c r="A263" t="s">
        <v>41</v>
      </c>
      <c r="B263" t="str" cm="1">
        <f t="array" ref="B263:C263">_xlfn.TEXTSPLIT(A263,"_")</f>
        <v>Isidora</v>
      </c>
      <c r="C263" t="str">
        <v>Pinto</v>
      </c>
      <c r="D263" t="s">
        <v>71</v>
      </c>
      <c r="E263" t="s">
        <v>31</v>
      </c>
      <c r="F263" t="s">
        <v>43</v>
      </c>
      <c r="G263" t="s">
        <v>286</v>
      </c>
      <c r="H263" t="s">
        <v>461</v>
      </c>
      <c r="I263" t="str">
        <f t="shared" si="35"/>
        <v>Jumbo</v>
      </c>
      <c r="J263" t="str">
        <f t="shared" si="29"/>
        <v>ParqueArauco</v>
      </c>
      <c r="K263" t="str">
        <f t="shared" si="30"/>
        <v>Mastercard</v>
      </c>
      <c r="L263" t="str" cm="1">
        <f t="array" ref="L263">_xlfn.IFS(J263="AltoLasCondes","MallAltoLasCondes",J263="MallPlazaEgaña","MallPlazaEgana",J263="CencoMallCostanera","CostaneraCenter", TRUE,J263)</f>
        <v>ParqueArauco</v>
      </c>
      <c r="M263" t="str">
        <f t="shared" si="36"/>
        <v>Mastercard</v>
      </c>
    </row>
    <row r="264" spans="1:14" x14ac:dyDescent="0.2">
      <c r="A264" t="s">
        <v>24</v>
      </c>
      <c r="B264" t="str" cm="1">
        <f t="array" ref="B264:C264">_xlfn.TEXTSPLIT(A264,"_")</f>
        <v>Dante</v>
      </c>
      <c r="C264" t="str">
        <v>Morrow</v>
      </c>
      <c r="D264" t="s">
        <v>7</v>
      </c>
      <c r="E264" t="s">
        <v>67</v>
      </c>
      <c r="F264" t="s">
        <v>57</v>
      </c>
      <c r="G264" t="s">
        <v>37</v>
      </c>
      <c r="H264" t="s">
        <v>462</v>
      </c>
      <c r="I264" t="str">
        <f t="shared" si="35"/>
        <v>Zara</v>
      </c>
      <c r="J264" t="str">
        <f t="shared" si="29"/>
        <v>CencoMallCostanera</v>
      </c>
      <c r="K264" t="str">
        <f t="shared" si="30"/>
        <v>Efectivo</v>
      </c>
      <c r="L264" t="str" cm="1">
        <f t="array" ref="L264">_xlfn.IFS(J264="AltoLasCondes","MallAltoLasCondes",J264="MallPlazaEgaña","MallPlazaEgana",J264="CencoMallCostanera","CostaneraCenter", TRUE,J264)</f>
        <v>CostaneraCenter</v>
      </c>
      <c r="M264" t="str">
        <f t="shared" si="36"/>
        <v>Efectivo</v>
      </c>
    </row>
    <row r="265" spans="1:14" x14ac:dyDescent="0.2">
      <c r="A265" t="s">
        <v>34</v>
      </c>
      <c r="B265" t="str" cm="1">
        <f t="array" ref="B265:C265">_xlfn.TEXTSPLIT(A265,"_")</f>
        <v>Thaddeus</v>
      </c>
      <c r="C265" t="str">
        <v>Vance</v>
      </c>
      <c r="D265" t="s">
        <v>146</v>
      </c>
      <c r="E265" t="s">
        <v>25</v>
      </c>
      <c r="F265" t="s">
        <v>60</v>
      </c>
      <c r="G265" t="s">
        <v>184</v>
      </c>
      <c r="H265" t="s">
        <v>463</v>
      </c>
      <c r="I265" t="str">
        <f t="shared" si="35"/>
        <v>H&amp;M</v>
      </c>
      <c r="J265" t="str">
        <f t="shared" si="29"/>
        <v>MallParqueArauco</v>
      </c>
      <c r="K265" t="str">
        <f t="shared" si="30"/>
        <v>Debito</v>
      </c>
      <c r="L265" t="str" cm="1">
        <f t="array" ref="L265">_xlfn.IFS(J265="AltoLasCondes","MallAltoLasCondes",J265="MallPlazaEgaña","MallPlazaEgana",J265="CencoMallCostanera","CostaneraCenter", TRUE,J265)</f>
        <v>MallParqueArauco</v>
      </c>
      <c r="M265" t="str">
        <f t="shared" si="36"/>
        <v>Debito</v>
      </c>
    </row>
    <row r="266" spans="1:14" x14ac:dyDescent="0.2">
      <c r="A266" t="s">
        <v>55</v>
      </c>
      <c r="B266" t="str" cm="1">
        <f t="array" ref="B266:C266">_xlfn.TEXTSPLIT(A266,"_")</f>
        <v>Nicolás</v>
      </c>
      <c r="C266" t="str">
        <v>Olea</v>
      </c>
      <c r="D266" t="s">
        <v>46</v>
      </c>
      <c r="E266" t="s">
        <v>20</v>
      </c>
      <c r="F266" t="s">
        <v>147</v>
      </c>
      <c r="G266" t="s">
        <v>198</v>
      </c>
      <c r="H266" t="s">
        <v>464</v>
      </c>
      <c r="I266" t="str">
        <f t="shared" si="35"/>
        <v>Easy</v>
      </c>
      <c r="J266" t="str">
        <f t="shared" si="29"/>
        <v>MallPlazaVespucio</v>
      </c>
      <c r="K266" t="str">
        <f t="shared" si="30"/>
        <v>Americanexpress</v>
      </c>
      <c r="L266" t="str" cm="1">
        <f t="array" ref="L266">_xlfn.IFS(J266="AltoLasCondes","MallAltoLasCondes",J266="MallPlazaEgaña","MallPlazaEgana",J266="CencoMallCostanera","CostaneraCenter", TRUE,J266)</f>
        <v>MallPlazaVespucio</v>
      </c>
      <c r="M266" t="str">
        <f t="shared" si="36"/>
        <v>Americanexpress</v>
      </c>
    </row>
    <row r="267" spans="1:14" x14ac:dyDescent="0.2">
      <c r="A267" t="s">
        <v>206</v>
      </c>
      <c r="B267" t="str" cm="1">
        <f t="array" ref="B267:C267">_xlfn.TEXTSPLIT(A267,"_")</f>
        <v>Mateo</v>
      </c>
      <c r="C267" t="str">
        <v>Fuenzalida</v>
      </c>
      <c r="D267" t="s">
        <v>13</v>
      </c>
      <c r="E267" t="s">
        <v>42</v>
      </c>
      <c r="F267" t="s">
        <v>57</v>
      </c>
      <c r="G267" t="s">
        <v>135</v>
      </c>
      <c r="H267" t="s">
        <v>465</v>
      </c>
      <c r="I267" t="str">
        <f t="shared" si="35"/>
        <v>Falabella</v>
      </c>
      <c r="J267" t="str">
        <f t="shared" si="29"/>
        <v>AltoLasCondes</v>
      </c>
      <c r="K267" t="str">
        <f t="shared" si="30"/>
        <v>Efectivo</v>
      </c>
      <c r="L267" t="str" cm="1">
        <f t="array" ref="L267">_xlfn.IFS(J267="AltoLasCondes","MallAltoLasCondes",J267="MallPlazaEgaña","MallPlazaEgana",J267="CencoMallCostanera","CostaneraCenter", TRUE,J267)</f>
        <v>MallAltoLasCondes</v>
      </c>
      <c r="M267" t="str">
        <f t="shared" si="36"/>
        <v>Efectivo</v>
      </c>
    </row>
    <row r="268" spans="1:14" x14ac:dyDescent="0.2">
      <c r="A268" t="s">
        <v>55</v>
      </c>
      <c r="B268" t="str" cm="1">
        <f t="array" ref="B268:C268">_xlfn.TEXTSPLIT(A268,"_")</f>
        <v>Nicolás</v>
      </c>
      <c r="C268" t="str">
        <v>Olea</v>
      </c>
      <c r="D268" t="s">
        <v>82</v>
      </c>
      <c r="E268" t="s">
        <v>59</v>
      </c>
      <c r="F268" t="s">
        <v>26</v>
      </c>
      <c r="G268" t="s">
        <v>109</v>
      </c>
      <c r="H268" t="s">
        <v>466</v>
      </c>
      <c r="I268" t="str">
        <f t="shared" si="35"/>
        <v>Ripley</v>
      </c>
      <c r="J268" t="str">
        <f t="shared" si="29"/>
        <v>AltoLasCondes</v>
      </c>
      <c r="K268" t="str">
        <f t="shared" si="30"/>
        <v>AmericanExpress</v>
      </c>
      <c r="L268" t="str" cm="1">
        <f t="array" ref="L268">_xlfn.IFS(J268="AltoLasCondes","MallAltoLasCondes",J268="MallPlazaEgaña","MallPlazaEgana",J268="CencoMallCostanera","CostaneraCenter", TRUE,J268)</f>
        <v>MallAltoLasCondes</v>
      </c>
      <c r="M268" t="str">
        <f t="shared" si="36"/>
        <v>AmericanExpress</v>
      </c>
      <c r="N268" t="str">
        <f t="shared" ref="N268:N269" si="37">LEFT(H268,3)</f>
        <v>AUX</v>
      </c>
    </row>
    <row r="269" spans="1:14" x14ac:dyDescent="0.2">
      <c r="A269" t="s">
        <v>55</v>
      </c>
      <c r="B269" t="str" cm="1">
        <f t="array" ref="B269:C269">_xlfn.TEXTSPLIT(A269,"_")</f>
        <v>Nicolás</v>
      </c>
      <c r="C269" t="str">
        <v>Olea</v>
      </c>
      <c r="D269" t="s">
        <v>120</v>
      </c>
      <c r="E269" t="s">
        <v>59</v>
      </c>
      <c r="F269" t="s">
        <v>60</v>
      </c>
      <c r="G269" t="s">
        <v>264</v>
      </c>
      <c r="H269" t="s">
        <v>467</v>
      </c>
      <c r="I269" t="str">
        <f t="shared" si="35"/>
        <v>Paris</v>
      </c>
      <c r="J269" t="str">
        <f t="shared" si="29"/>
        <v>AltoLasCondes</v>
      </c>
      <c r="K269" t="str">
        <f t="shared" si="30"/>
        <v>Debito</v>
      </c>
      <c r="L269" t="str" cm="1">
        <f t="array" ref="L269">_xlfn.IFS(J269="AltoLasCondes","MallAltoLasCondes",J269="MallPlazaEgaña","MallPlazaEgana",J269="CencoMallCostanera","CostaneraCenter", TRUE,J269)</f>
        <v>MallAltoLasCondes</v>
      </c>
      <c r="M269" t="str">
        <f t="shared" si="36"/>
        <v>Debito</v>
      </c>
      <c r="N269" t="str">
        <f t="shared" si="37"/>
        <v>AUX</v>
      </c>
    </row>
    <row r="270" spans="1:14" x14ac:dyDescent="0.2">
      <c r="A270" t="s">
        <v>100</v>
      </c>
      <c r="B270" t="str" cm="1">
        <f t="array" ref="B270:C270">_xlfn.TEXTSPLIT(A270,"_")</f>
        <v>Beckett</v>
      </c>
      <c r="C270" t="str">
        <v>Chase</v>
      </c>
      <c r="D270" t="s">
        <v>56</v>
      </c>
      <c r="E270" t="s">
        <v>8</v>
      </c>
      <c r="F270" t="s">
        <v>130</v>
      </c>
      <c r="G270" t="s">
        <v>252</v>
      </c>
      <c r="H270" t="s">
        <v>468</v>
      </c>
      <c r="I270" t="str">
        <f t="shared" si="35"/>
        <v>París</v>
      </c>
      <c r="J270" t="str">
        <f t="shared" si="29"/>
        <v>MallPlazaVespucio</v>
      </c>
      <c r="K270" t="str">
        <f t="shared" si="30"/>
        <v>MasterCard</v>
      </c>
      <c r="L270" t="str" cm="1">
        <f t="array" ref="L270">_xlfn.IFS(J270="AltoLasCondes","MallAltoLasCondes",J270="MallPlazaEgaña","MallPlazaEgana",J270="CencoMallCostanera","CostaneraCenter", TRUE,J270)</f>
        <v>MallPlazaVespucio</v>
      </c>
      <c r="M270" t="str">
        <f t="shared" si="36"/>
        <v>MasterCard</v>
      </c>
    </row>
    <row r="271" spans="1:14" x14ac:dyDescent="0.2">
      <c r="A271" t="s">
        <v>105</v>
      </c>
      <c r="B271" t="str" cm="1">
        <f t="array" ref="B271:C271">_xlfn.TEXTSPLIT(A271,"_")</f>
        <v>Camila</v>
      </c>
      <c r="C271" t="str">
        <v>Errázuriz</v>
      </c>
      <c r="D271" t="s">
        <v>165</v>
      </c>
      <c r="E271" t="s">
        <v>91</v>
      </c>
      <c r="F271" t="s">
        <v>75</v>
      </c>
      <c r="G271" t="s">
        <v>152</v>
      </c>
      <c r="H271" t="s">
        <v>469</v>
      </c>
      <c r="I271" t="str">
        <f t="shared" si="35"/>
        <v>Sta.Isabel</v>
      </c>
      <c r="J271" t="str">
        <f t="shared" si="29"/>
        <v>CostaneraCenter</v>
      </c>
      <c r="K271" t="str">
        <f t="shared" si="30"/>
        <v>Debito</v>
      </c>
      <c r="L271" t="str" cm="1">
        <f t="array" ref="L271">_xlfn.IFS(J271="AltoLasCondes","MallAltoLasCondes",J271="MallPlazaEgaña","MallPlazaEgana",J271="CencoMallCostanera","CostaneraCenter", TRUE,J271)</f>
        <v>CostaneraCenter</v>
      </c>
      <c r="M271" t="str">
        <f t="shared" si="36"/>
        <v>Debito</v>
      </c>
    </row>
    <row r="272" spans="1:14" x14ac:dyDescent="0.2">
      <c r="A272" t="s">
        <v>34</v>
      </c>
      <c r="B272" t="str" cm="1">
        <f t="array" ref="B272:C272">_xlfn.TEXTSPLIT(A272,"_")</f>
        <v>Thaddeus</v>
      </c>
      <c r="C272" t="str">
        <v>Vance</v>
      </c>
      <c r="D272" t="s">
        <v>141</v>
      </c>
      <c r="E272" t="s">
        <v>126</v>
      </c>
      <c r="F272" t="s">
        <v>156</v>
      </c>
      <c r="G272" t="s">
        <v>470</v>
      </c>
      <c r="H272" t="s">
        <v>471</v>
      </c>
      <c r="I272" t="str">
        <f t="shared" si="35"/>
        <v>Easy</v>
      </c>
      <c r="J272" t="str">
        <f t="shared" si="29"/>
        <v>MallAltoLasCondes</v>
      </c>
      <c r="K272" t="str">
        <f t="shared" si="30"/>
        <v>Débito</v>
      </c>
      <c r="L272" t="str" cm="1">
        <f t="array" ref="L272">_xlfn.IFS(J272="AltoLasCondes","MallAltoLasCondes",J272="MallPlazaEgaña","MallPlazaEgana",J272="CencoMallCostanera","CostaneraCenter", TRUE,J272)</f>
        <v>MallAltoLasCondes</v>
      </c>
      <c r="M272" t="str">
        <f t="shared" si="36"/>
        <v>Debito</v>
      </c>
    </row>
    <row r="273" spans="1:14" x14ac:dyDescent="0.2">
      <c r="A273" t="s">
        <v>172</v>
      </c>
      <c r="B273" t="str" cm="1">
        <f t="array" ref="B273:C273">_xlfn.TEXTSPLIT(A273,"_")</f>
        <v>Mila</v>
      </c>
      <c r="C273" t="str">
        <v>Rivers</v>
      </c>
      <c r="D273" t="s">
        <v>74</v>
      </c>
      <c r="E273" t="s">
        <v>8</v>
      </c>
      <c r="F273" t="s">
        <v>92</v>
      </c>
      <c r="G273" t="s">
        <v>386</v>
      </c>
      <c r="H273" t="s">
        <v>472</v>
      </c>
      <c r="I273" t="str">
        <f t="shared" si="35"/>
        <v>Jumbo</v>
      </c>
      <c r="J273" t="str">
        <f t="shared" si="29"/>
        <v>MallPlazaVespucio</v>
      </c>
      <c r="K273" t="str">
        <f t="shared" si="30"/>
        <v>Efectivo</v>
      </c>
      <c r="L273" t="str" cm="1">
        <f t="array" ref="L273">_xlfn.IFS(J273="AltoLasCondes","MallAltoLasCondes",J273="MallPlazaEgaña","MallPlazaEgana",J273="CencoMallCostanera","CostaneraCenter", TRUE,J273)</f>
        <v>MallPlazaVespucio</v>
      </c>
      <c r="M273" t="str">
        <f t="shared" si="36"/>
        <v>Efectivo</v>
      </c>
    </row>
    <row r="274" spans="1:14" x14ac:dyDescent="0.2">
      <c r="A274" t="s">
        <v>172</v>
      </c>
      <c r="B274" t="str" cm="1">
        <f t="array" ref="B274:C274">_xlfn.TEXTSPLIT(A274,"_")</f>
        <v>Mila</v>
      </c>
      <c r="C274" t="str">
        <v>Rivers</v>
      </c>
      <c r="D274" t="s">
        <v>165</v>
      </c>
      <c r="E274" t="s">
        <v>42</v>
      </c>
      <c r="F274" t="s">
        <v>21</v>
      </c>
      <c r="G274" t="s">
        <v>188</v>
      </c>
      <c r="H274" t="s">
        <v>473</v>
      </c>
      <c r="I274" t="str">
        <f t="shared" si="35"/>
        <v>Sta.Isabel</v>
      </c>
      <c r="J274" t="str">
        <f t="shared" ref="J274:J301" si="38">SUBSTITUTE(PROPER(TRIM((E274)))," ","")</f>
        <v>AltoLasCondes</v>
      </c>
      <c r="K274" t="str">
        <f t="shared" ref="K274:K301" si="39">SUBSTITUTE(PROPER(TRIM((F274)))," ","")</f>
        <v>Visa</v>
      </c>
      <c r="L274" t="str" cm="1">
        <f t="array" ref="L274">_xlfn.IFS(J274="AltoLasCondes","MallAltoLasCondes",J274="MallPlazaEgaña","MallPlazaEgana",J274="CencoMallCostanera","CostaneraCenter", TRUE,J274)</f>
        <v>MallAltoLasCondes</v>
      </c>
      <c r="M274" t="str">
        <f t="shared" si="36"/>
        <v>Visa</v>
      </c>
    </row>
    <row r="275" spans="1:14" x14ac:dyDescent="0.2">
      <c r="A275" t="s">
        <v>180</v>
      </c>
      <c r="B275" t="str" cm="1">
        <f t="array" ref="B275:C275">_xlfn.TEXTSPLIT(A275,"_")</f>
        <v>Florencia</v>
      </c>
      <c r="C275" t="str">
        <v>Matte</v>
      </c>
      <c r="D275" t="s">
        <v>78</v>
      </c>
      <c r="E275" t="s">
        <v>83</v>
      </c>
      <c r="F275" t="s">
        <v>60</v>
      </c>
      <c r="G275" t="s">
        <v>365</v>
      </c>
      <c r="H275" t="s">
        <v>474</v>
      </c>
      <c r="I275" t="str">
        <f t="shared" si="35"/>
        <v>SantaIsabel</v>
      </c>
      <c r="J275" t="str">
        <f t="shared" si="38"/>
        <v>MallplazaEgaña</v>
      </c>
      <c r="K275" t="str">
        <f t="shared" si="39"/>
        <v>Debito</v>
      </c>
      <c r="L275" t="str" cm="1">
        <f t="array" ref="L275">_xlfn.IFS(J275="AltoLasCondes","MallAltoLasCondes",J275="MallPlazaEgaña","MallPlazaEgana",J275="CencoMallCostanera","CostaneraCenter", TRUE,J275)</f>
        <v>MallPlazaEgana</v>
      </c>
      <c r="M275" t="str">
        <f t="shared" si="36"/>
        <v>Debito</v>
      </c>
    </row>
    <row r="276" spans="1:14" x14ac:dyDescent="0.2">
      <c r="A276" t="s">
        <v>114</v>
      </c>
      <c r="B276" t="str" cm="1">
        <f t="array" ref="B276:C276">_xlfn.TEXTSPLIT(A276,"_")</f>
        <v>Joaquín</v>
      </c>
      <c r="C276" t="str">
        <v>Zañartu</v>
      </c>
      <c r="D276" t="s">
        <v>146</v>
      </c>
      <c r="E276" t="s">
        <v>31</v>
      </c>
      <c r="F276" t="s">
        <v>156</v>
      </c>
      <c r="G276" t="s">
        <v>32</v>
      </c>
      <c r="H276" t="s">
        <v>475</v>
      </c>
      <c r="I276" t="str">
        <f t="shared" si="35"/>
        <v>H&amp;M</v>
      </c>
      <c r="J276" t="str">
        <f t="shared" si="38"/>
        <v>ParqueArauco</v>
      </c>
      <c r="K276" t="str">
        <f t="shared" si="39"/>
        <v>Débito</v>
      </c>
      <c r="L276" t="str" cm="1">
        <f t="array" ref="L276">_xlfn.IFS(J276="AltoLasCondes","MallAltoLasCondes",J276="MallPlazaEgaña","MallPlazaEgana",J276="CencoMallCostanera","CostaneraCenter", TRUE,J276)</f>
        <v>ParqueArauco</v>
      </c>
      <c r="M276" t="str">
        <f t="shared" si="36"/>
        <v>Debito</v>
      </c>
    </row>
    <row r="277" spans="1:14" x14ac:dyDescent="0.2">
      <c r="A277" t="s">
        <v>6</v>
      </c>
      <c r="B277" t="str" cm="1">
        <f t="array" ref="B277:C277">_xlfn.TEXTSPLIT(A277,"_")</f>
        <v>Kobe</v>
      </c>
      <c r="C277" t="str">
        <v>Higgins</v>
      </c>
      <c r="D277" t="s">
        <v>56</v>
      </c>
      <c r="E277" t="s">
        <v>20</v>
      </c>
      <c r="F277" t="s">
        <v>26</v>
      </c>
      <c r="G277" t="s">
        <v>116</v>
      </c>
      <c r="H277" t="s">
        <v>476</v>
      </c>
      <c r="I277" t="str">
        <f t="shared" si="35"/>
        <v>París</v>
      </c>
      <c r="J277" t="str">
        <f t="shared" si="38"/>
        <v>MallPlazaVespucio</v>
      </c>
      <c r="K277" t="str">
        <f t="shared" si="39"/>
        <v>AmericanExpress</v>
      </c>
      <c r="L277" t="str" cm="1">
        <f t="array" ref="L277">_xlfn.IFS(J277="AltoLasCondes","MallAltoLasCondes",J277="MallPlazaEgaña","MallPlazaEgana",J277="CencoMallCostanera","CostaneraCenter", TRUE,J277)</f>
        <v>MallPlazaVespucio</v>
      </c>
      <c r="M277" t="str">
        <f t="shared" si="36"/>
        <v>AmericanExpress</v>
      </c>
    </row>
    <row r="278" spans="1:14" x14ac:dyDescent="0.2">
      <c r="A278" t="s">
        <v>66</v>
      </c>
      <c r="B278" t="str" cm="1">
        <f t="array" ref="B278:C278">_xlfn.TEXTSPLIT(A278,"_")</f>
        <v>Priscilia</v>
      </c>
      <c r="C278" t="str">
        <v>Welch</v>
      </c>
      <c r="D278" t="s">
        <v>102</v>
      </c>
      <c r="E278" t="s">
        <v>51</v>
      </c>
      <c r="F278" t="s">
        <v>57</v>
      </c>
      <c r="G278" t="s">
        <v>80</v>
      </c>
      <c r="H278" t="s">
        <v>477</v>
      </c>
      <c r="I278" t="str">
        <f t="shared" si="35"/>
        <v>Paris</v>
      </c>
      <c r="J278" t="str">
        <f t="shared" si="38"/>
        <v>MallplazaVespucio</v>
      </c>
      <c r="K278" t="str">
        <f t="shared" si="39"/>
        <v>Efectivo</v>
      </c>
      <c r="L278" t="str" cm="1">
        <f t="array" ref="L278">_xlfn.IFS(J278="AltoLasCondes","MallAltoLasCondes",J278="MallPlazaEgaña","MallPlazaEgana",J278="CencoMallCostanera","CostaneraCenter", TRUE,J278)</f>
        <v>MallplazaVespucio</v>
      </c>
      <c r="M278" t="str">
        <f t="shared" si="36"/>
        <v>Efectivo</v>
      </c>
    </row>
    <row r="279" spans="1:14" x14ac:dyDescent="0.2">
      <c r="A279" t="s">
        <v>34</v>
      </c>
      <c r="B279" t="str" cm="1">
        <f t="array" ref="B279:C279">_xlfn.TEXTSPLIT(A279,"_")</f>
        <v>Thaddeus</v>
      </c>
      <c r="C279" t="str">
        <v>Vance</v>
      </c>
      <c r="D279" t="s">
        <v>90</v>
      </c>
      <c r="E279" t="s">
        <v>91</v>
      </c>
      <c r="F279" t="s">
        <v>57</v>
      </c>
      <c r="G279" t="s">
        <v>22</v>
      </c>
      <c r="H279" t="s">
        <v>478</v>
      </c>
      <c r="I279" t="str">
        <f t="shared" si="35"/>
        <v>Paris</v>
      </c>
      <c r="J279" t="str">
        <f t="shared" si="38"/>
        <v>CostaneraCenter</v>
      </c>
      <c r="K279" t="str">
        <f t="shared" si="39"/>
        <v>Efectivo</v>
      </c>
      <c r="L279" t="str" cm="1">
        <f t="array" ref="L279">_xlfn.IFS(J279="AltoLasCondes","MallAltoLasCondes",J279="MallPlazaEgaña","MallPlazaEgana",J279="CencoMallCostanera","CostaneraCenter", TRUE,J279)</f>
        <v>CostaneraCenter</v>
      </c>
      <c r="M279" t="str">
        <f t="shared" si="36"/>
        <v>Efectivo</v>
      </c>
    </row>
    <row r="280" spans="1:14" x14ac:dyDescent="0.2">
      <c r="A280" t="s">
        <v>100</v>
      </c>
      <c r="B280" t="str" cm="1">
        <f t="array" ref="B280:C280">_xlfn.TEXTSPLIT(A280,"_")</f>
        <v>Beckett</v>
      </c>
      <c r="C280" t="str">
        <v>Chase</v>
      </c>
      <c r="D280" t="s">
        <v>46</v>
      </c>
      <c r="E280" t="s">
        <v>216</v>
      </c>
      <c r="F280" t="s">
        <v>147</v>
      </c>
      <c r="G280" t="s">
        <v>112</v>
      </c>
      <c r="H280" t="s">
        <v>479</v>
      </c>
      <c r="I280" t="str">
        <f t="shared" si="35"/>
        <v>Easy</v>
      </c>
      <c r="J280" t="str">
        <f t="shared" si="38"/>
        <v>MallPlazaEgana</v>
      </c>
      <c r="K280" t="str">
        <f t="shared" si="39"/>
        <v>Americanexpress</v>
      </c>
      <c r="L280" t="str" cm="1">
        <f t="array" ref="L280">_xlfn.IFS(J280="AltoLasCondes","MallAltoLasCondes",J280="MallPlazaEgaña","MallPlazaEgana",J280="CencoMallCostanera","CostaneraCenter", TRUE,J280)</f>
        <v>MallPlazaEgana</v>
      </c>
      <c r="M280" t="str">
        <f t="shared" si="36"/>
        <v>Americanexpress</v>
      </c>
    </row>
    <row r="281" spans="1:14" x14ac:dyDescent="0.2">
      <c r="A281" t="s">
        <v>55</v>
      </c>
      <c r="B281" t="str" cm="1">
        <f t="array" ref="B281:C281">_xlfn.TEXTSPLIT(A281,"_")</f>
        <v>Nicolás</v>
      </c>
      <c r="C281" t="str">
        <v>Olea</v>
      </c>
      <c r="D281" t="s">
        <v>190</v>
      </c>
      <c r="E281" t="s">
        <v>20</v>
      </c>
      <c r="F281" t="s">
        <v>36</v>
      </c>
      <c r="G281" t="s">
        <v>168</v>
      </c>
      <c r="H281" t="s">
        <v>480</v>
      </c>
      <c r="I281" t="str">
        <f t="shared" si="35"/>
        <v>SantaIsabel</v>
      </c>
      <c r="J281" t="str">
        <f t="shared" si="38"/>
        <v>MallPlazaVespucio</v>
      </c>
      <c r="K281" t="str">
        <f t="shared" si="39"/>
        <v>MasterCard</v>
      </c>
      <c r="L281" t="str" cm="1">
        <f t="array" ref="L281">_xlfn.IFS(J281="AltoLasCondes","MallAltoLasCondes",J281="MallPlazaEgaña","MallPlazaEgana",J281="CencoMallCostanera","CostaneraCenter", TRUE,J281)</f>
        <v>MallPlazaVespucio</v>
      </c>
      <c r="M281" t="str">
        <f t="shared" si="36"/>
        <v>MasterCard</v>
      </c>
    </row>
    <row r="282" spans="1:14" x14ac:dyDescent="0.2">
      <c r="A282" t="s">
        <v>159</v>
      </c>
      <c r="B282" t="str" cm="1">
        <f t="array" ref="B282:C282">_xlfn.TEXTSPLIT(A282,"_")</f>
        <v>Tomás</v>
      </c>
      <c r="C282" t="str">
        <v>Guzmán</v>
      </c>
      <c r="D282" t="s">
        <v>50</v>
      </c>
      <c r="E282" t="s">
        <v>42</v>
      </c>
      <c r="F282" t="s">
        <v>15</v>
      </c>
      <c r="G282" t="s">
        <v>234</v>
      </c>
      <c r="H282" t="s">
        <v>481</v>
      </c>
      <c r="I282" t="str">
        <f t="shared" si="35"/>
        <v>Easy</v>
      </c>
      <c r="J282" t="str">
        <f t="shared" si="38"/>
        <v>AltoLasCondes</v>
      </c>
      <c r="K282" t="str">
        <f t="shared" si="39"/>
        <v>MasterCard</v>
      </c>
      <c r="L282" t="str" cm="1">
        <f t="array" ref="L282">_xlfn.IFS(J282="AltoLasCondes","MallAltoLasCondes",J282="MallPlazaEgaña","MallPlazaEgana",J282="CencoMallCostanera","CostaneraCenter", TRUE,J282)</f>
        <v>MallAltoLasCondes</v>
      </c>
      <c r="M282" t="str">
        <f t="shared" si="36"/>
        <v>MasterCard</v>
      </c>
      <c r="N282" t="str">
        <f t="shared" ref="N282:N283" si="40">LEFT(H282,3)</f>
        <v>AUX</v>
      </c>
    </row>
    <row r="283" spans="1:14" x14ac:dyDescent="0.2">
      <c r="A283" t="s">
        <v>215</v>
      </c>
      <c r="B283" t="str" cm="1">
        <f t="array" ref="B283:C283">_xlfn.TEXTSPLIT(A283,"_")</f>
        <v>Cole</v>
      </c>
      <c r="C283" t="str">
        <v>Bray</v>
      </c>
      <c r="D283" t="s">
        <v>125</v>
      </c>
      <c r="E283" t="s">
        <v>31</v>
      </c>
      <c r="F283" t="s">
        <v>57</v>
      </c>
      <c r="G283" t="s">
        <v>482</v>
      </c>
      <c r="H283" t="s">
        <v>483</v>
      </c>
      <c r="I283" t="str">
        <f t="shared" si="35"/>
        <v>Ripley</v>
      </c>
      <c r="J283" t="str">
        <f t="shared" si="38"/>
        <v>ParqueArauco</v>
      </c>
      <c r="K283" t="str">
        <f t="shared" si="39"/>
        <v>Efectivo</v>
      </c>
      <c r="L283" t="str" cm="1">
        <f t="array" ref="L283">_xlfn.IFS(J283="AltoLasCondes","MallAltoLasCondes",J283="MallPlazaEgaña","MallPlazaEgana",J283="CencoMallCostanera","CostaneraCenter", TRUE,J283)</f>
        <v>ParqueArauco</v>
      </c>
      <c r="M283" t="str">
        <f t="shared" si="36"/>
        <v>Efectivo</v>
      </c>
      <c r="N283" t="str">
        <f t="shared" si="40"/>
        <v>RET</v>
      </c>
    </row>
    <row r="284" spans="1:14" x14ac:dyDescent="0.2">
      <c r="A284" t="s">
        <v>98</v>
      </c>
      <c r="B284" t="str" cm="1">
        <f t="array" ref="B284:C284">_xlfn.TEXTSPLIT(A284,"_")</f>
        <v>Sienna</v>
      </c>
      <c r="C284" t="str">
        <v>Frost</v>
      </c>
      <c r="D284" t="s">
        <v>190</v>
      </c>
      <c r="E284" t="s">
        <v>121</v>
      </c>
      <c r="F284" t="s">
        <v>9</v>
      </c>
      <c r="G284" t="s">
        <v>365</v>
      </c>
      <c r="H284" t="s">
        <v>484</v>
      </c>
      <c r="I284" t="str">
        <f t="shared" si="35"/>
        <v>SantaIsabel</v>
      </c>
      <c r="J284" t="str">
        <f t="shared" si="38"/>
        <v>CostaneraCenter</v>
      </c>
      <c r="K284" t="str">
        <f t="shared" si="39"/>
        <v>Efectivo</v>
      </c>
      <c r="L284" t="str" cm="1">
        <f t="array" ref="L284">_xlfn.IFS(J284="AltoLasCondes","MallAltoLasCondes",J284="MallPlazaEgaña","MallPlazaEgana",J284="CencoMallCostanera","CostaneraCenter", TRUE,J284)</f>
        <v>CostaneraCenter</v>
      </c>
      <c r="M284" t="str">
        <f t="shared" si="36"/>
        <v>Efectivo</v>
      </c>
    </row>
    <row r="285" spans="1:14" x14ac:dyDescent="0.2">
      <c r="A285" t="s">
        <v>180</v>
      </c>
      <c r="B285" t="str" cm="1">
        <f t="array" ref="B285:C285">_xlfn.TEXTSPLIT(A285,"_")</f>
        <v>Florencia</v>
      </c>
      <c r="C285" t="str">
        <v>Matte</v>
      </c>
      <c r="D285" t="s">
        <v>96</v>
      </c>
      <c r="E285" t="s">
        <v>42</v>
      </c>
      <c r="F285" t="s">
        <v>156</v>
      </c>
      <c r="G285" t="s">
        <v>207</v>
      </c>
      <c r="H285" t="s">
        <v>485</v>
      </c>
      <c r="I285" t="str">
        <f t="shared" si="35"/>
        <v>SodimacHomecenter</v>
      </c>
      <c r="J285" t="str">
        <f t="shared" si="38"/>
        <v>AltoLasCondes</v>
      </c>
      <c r="K285" t="str">
        <f t="shared" si="39"/>
        <v>Débito</v>
      </c>
      <c r="L285" t="str" cm="1">
        <f t="array" ref="L285">_xlfn.IFS(J285="AltoLasCondes","MallAltoLasCondes",J285="MallPlazaEgaña","MallPlazaEgana",J285="CencoMallCostanera","CostaneraCenter", TRUE,J285)</f>
        <v>MallAltoLasCondes</v>
      </c>
      <c r="M285" t="str">
        <f t="shared" si="36"/>
        <v>Debito</v>
      </c>
    </row>
    <row r="286" spans="1:14" x14ac:dyDescent="0.2">
      <c r="A286" t="s">
        <v>55</v>
      </c>
      <c r="B286" t="str" cm="1">
        <f t="array" ref="B286:C286">_xlfn.TEXTSPLIT(A286,"_")</f>
        <v>Nicolás</v>
      </c>
      <c r="C286" t="str">
        <v>Olea</v>
      </c>
      <c r="D286" t="s">
        <v>82</v>
      </c>
      <c r="E286" t="s">
        <v>86</v>
      </c>
      <c r="F286" t="s">
        <v>57</v>
      </c>
      <c r="G286" t="s">
        <v>68</v>
      </c>
      <c r="H286" t="s">
        <v>486</v>
      </c>
      <c r="I286" t="str">
        <f t="shared" si="35"/>
        <v>Ripley</v>
      </c>
      <c r="J286" t="str">
        <f t="shared" si="38"/>
        <v>CencoMallCostanera</v>
      </c>
      <c r="K286" t="str">
        <f t="shared" si="39"/>
        <v>Efectivo</v>
      </c>
      <c r="L286" t="str" cm="1">
        <f t="array" ref="L286">_xlfn.IFS(J286="AltoLasCondes","MallAltoLasCondes",J286="MallPlazaEgaña","MallPlazaEgana",J286="CencoMallCostanera","CostaneraCenter", TRUE,J286)</f>
        <v>CostaneraCenter</v>
      </c>
      <c r="M286" t="str">
        <f t="shared" si="36"/>
        <v>Efectivo</v>
      </c>
    </row>
    <row r="287" spans="1:14" x14ac:dyDescent="0.2">
      <c r="A287" t="s">
        <v>105</v>
      </c>
      <c r="B287" t="str" cm="1">
        <f t="array" ref="B287:C287">_xlfn.TEXTSPLIT(A287,"_")</f>
        <v>Camila</v>
      </c>
      <c r="C287" t="str">
        <v>Errázuriz</v>
      </c>
      <c r="D287" t="s">
        <v>71</v>
      </c>
      <c r="E287" t="s">
        <v>216</v>
      </c>
      <c r="F287" t="s">
        <v>26</v>
      </c>
      <c r="G287" t="s">
        <v>279</v>
      </c>
      <c r="H287" t="s">
        <v>487</v>
      </c>
      <c r="I287" t="str">
        <f t="shared" si="35"/>
        <v>Jumbo</v>
      </c>
      <c r="J287" t="str">
        <f t="shared" si="38"/>
        <v>MallPlazaEgana</v>
      </c>
      <c r="K287" t="str">
        <f t="shared" si="39"/>
        <v>AmericanExpress</v>
      </c>
      <c r="L287" t="str" cm="1">
        <f t="array" ref="L287">_xlfn.IFS(J287="AltoLasCondes","MallAltoLasCondes",J287="MallPlazaEgaña","MallPlazaEgana",J287="CencoMallCostanera","CostaneraCenter", TRUE,J287)</f>
        <v>MallPlazaEgana</v>
      </c>
      <c r="M287" t="str">
        <f t="shared" si="36"/>
        <v>AmericanExpress</v>
      </c>
    </row>
    <row r="288" spans="1:14" x14ac:dyDescent="0.2">
      <c r="A288" t="s">
        <v>215</v>
      </c>
      <c r="B288" t="str" cm="1">
        <f t="array" ref="B288:C288">_xlfn.TEXTSPLIT(A288,"_")</f>
        <v>Cole</v>
      </c>
      <c r="C288" t="str">
        <v>Bray</v>
      </c>
      <c r="D288" t="s">
        <v>56</v>
      </c>
      <c r="E288" t="s">
        <v>59</v>
      </c>
      <c r="F288" t="s">
        <v>244</v>
      </c>
      <c r="G288" t="s">
        <v>61</v>
      </c>
      <c r="H288" t="s">
        <v>488</v>
      </c>
      <c r="I288" t="str">
        <f t="shared" si="35"/>
        <v>París</v>
      </c>
      <c r="J288" t="str">
        <f t="shared" si="38"/>
        <v>AltoLasCondes</v>
      </c>
      <c r="K288" t="str">
        <f t="shared" si="39"/>
        <v>Debito</v>
      </c>
      <c r="L288" t="str" cm="1">
        <f t="array" ref="L288">_xlfn.IFS(J288="AltoLasCondes","MallAltoLasCondes",J288="MallPlazaEgaña","MallPlazaEgana",J288="CencoMallCostanera","CostaneraCenter", TRUE,J288)</f>
        <v>MallAltoLasCondes</v>
      </c>
      <c r="M288" t="str">
        <f t="shared" si="36"/>
        <v>Debito</v>
      </c>
    </row>
    <row r="289" spans="1:14" x14ac:dyDescent="0.2">
      <c r="A289" t="s">
        <v>89</v>
      </c>
      <c r="B289" t="str" cm="1">
        <f t="array" ref="B289:C289">_xlfn.TEXTSPLIT(A289,"_")</f>
        <v>Seraphina</v>
      </c>
      <c r="C289" t="str">
        <v>Moon</v>
      </c>
      <c r="D289" t="s">
        <v>7</v>
      </c>
      <c r="E289" t="s">
        <v>83</v>
      </c>
      <c r="F289" t="s">
        <v>147</v>
      </c>
      <c r="G289" t="s">
        <v>64</v>
      </c>
      <c r="H289" t="s">
        <v>489</v>
      </c>
      <c r="I289" t="str">
        <f t="shared" si="35"/>
        <v>Zara</v>
      </c>
      <c r="J289" t="str">
        <f t="shared" si="38"/>
        <v>MallplazaEgaña</v>
      </c>
      <c r="K289" t="str">
        <f t="shared" si="39"/>
        <v>Americanexpress</v>
      </c>
      <c r="L289" t="str" cm="1">
        <f t="array" ref="L289">_xlfn.IFS(J289="AltoLasCondes","MallAltoLasCondes",J289="MallPlazaEgaña","MallPlazaEgana",J289="CencoMallCostanera","CostaneraCenter", TRUE,J289)</f>
        <v>MallPlazaEgana</v>
      </c>
      <c r="M289" t="str">
        <f t="shared" si="36"/>
        <v>Americanexpress</v>
      </c>
    </row>
    <row r="290" spans="1:14" x14ac:dyDescent="0.2">
      <c r="A290" t="s">
        <v>49</v>
      </c>
      <c r="B290" t="str" cm="1">
        <f t="array" ref="B290:C290">_xlfn.TEXTSPLIT(A290,"_")</f>
        <v>Talia</v>
      </c>
      <c r="C290" t="str">
        <v>Cuevas</v>
      </c>
      <c r="D290" t="s">
        <v>71</v>
      </c>
      <c r="E290" t="s">
        <v>91</v>
      </c>
      <c r="F290" t="s">
        <v>21</v>
      </c>
      <c r="G290" t="s">
        <v>39</v>
      </c>
      <c r="H290" t="s">
        <v>490</v>
      </c>
      <c r="I290" t="str">
        <f t="shared" si="35"/>
        <v>Jumbo</v>
      </c>
      <c r="J290" t="str">
        <f t="shared" si="38"/>
        <v>CostaneraCenter</v>
      </c>
      <c r="K290" t="str">
        <f t="shared" si="39"/>
        <v>Visa</v>
      </c>
      <c r="L290" t="str" cm="1">
        <f t="array" ref="L290">_xlfn.IFS(J290="AltoLasCondes","MallAltoLasCondes",J290="MallPlazaEgaña","MallPlazaEgana",J290="CencoMallCostanera","CostaneraCenter", TRUE,J290)</f>
        <v>CostaneraCenter</v>
      </c>
      <c r="M290" t="str">
        <f t="shared" si="36"/>
        <v>Visa</v>
      </c>
    </row>
    <row r="291" spans="1:14" x14ac:dyDescent="0.2">
      <c r="A291" t="s">
        <v>100</v>
      </c>
      <c r="B291" t="str" cm="1">
        <f t="array" ref="B291:C291">_xlfn.TEXTSPLIT(A291,"_")</f>
        <v>Beckett</v>
      </c>
      <c r="C291" t="str">
        <v>Chase</v>
      </c>
      <c r="D291" t="s">
        <v>7</v>
      </c>
      <c r="E291" t="s">
        <v>121</v>
      </c>
      <c r="F291" t="s">
        <v>9</v>
      </c>
      <c r="G291" t="s">
        <v>112</v>
      </c>
      <c r="H291" t="s">
        <v>491</v>
      </c>
      <c r="I291" t="str">
        <f t="shared" si="35"/>
        <v>Zara</v>
      </c>
      <c r="J291" t="str">
        <f t="shared" si="38"/>
        <v>CostaneraCenter</v>
      </c>
      <c r="K291" t="str">
        <f t="shared" si="39"/>
        <v>Efectivo</v>
      </c>
      <c r="L291" t="str" cm="1">
        <f t="array" ref="L291">_xlfn.IFS(J291="AltoLasCondes","MallAltoLasCondes",J291="MallPlazaEgaña","MallPlazaEgana",J291="CencoMallCostanera","CostaneraCenter", TRUE,J291)</f>
        <v>CostaneraCenter</v>
      </c>
      <c r="M291" t="str">
        <f t="shared" si="36"/>
        <v>Efectivo</v>
      </c>
    </row>
    <row r="292" spans="1:14" x14ac:dyDescent="0.2">
      <c r="A292" t="s">
        <v>105</v>
      </c>
      <c r="B292" t="str" cm="1">
        <f t="array" ref="B292:C292">_xlfn.TEXTSPLIT(A292,"_")</f>
        <v>Camila</v>
      </c>
      <c r="C292" t="str">
        <v>Errázuriz</v>
      </c>
      <c r="D292" t="s">
        <v>190</v>
      </c>
      <c r="E292" t="s">
        <v>126</v>
      </c>
      <c r="F292" t="s">
        <v>147</v>
      </c>
      <c r="G292" t="s">
        <v>27</v>
      </c>
      <c r="H292" t="s">
        <v>492</v>
      </c>
      <c r="I292" t="str">
        <f t="shared" si="35"/>
        <v>SantaIsabel</v>
      </c>
      <c r="J292" t="str">
        <f t="shared" si="38"/>
        <v>MallAltoLasCondes</v>
      </c>
      <c r="K292" t="str">
        <f t="shared" si="39"/>
        <v>Americanexpress</v>
      </c>
      <c r="L292" t="str" cm="1">
        <f t="array" ref="L292">_xlfn.IFS(J292="AltoLasCondes","MallAltoLasCondes",J292="MallPlazaEgaña","MallPlazaEgana",J292="CencoMallCostanera","CostaneraCenter", TRUE,J292)</f>
        <v>MallAltoLasCondes</v>
      </c>
      <c r="M292" t="str">
        <f t="shared" si="36"/>
        <v>Americanexpress</v>
      </c>
    </row>
    <row r="293" spans="1:14" x14ac:dyDescent="0.2">
      <c r="A293" t="s">
        <v>49</v>
      </c>
      <c r="B293" t="str" cm="1">
        <f t="array" ref="B293:C293">_xlfn.TEXTSPLIT(A293,"_")</f>
        <v>Talia</v>
      </c>
      <c r="C293" t="str">
        <v>Cuevas</v>
      </c>
      <c r="D293" t="s">
        <v>13</v>
      </c>
      <c r="E293" t="s">
        <v>8</v>
      </c>
      <c r="F293" t="s">
        <v>57</v>
      </c>
      <c r="G293" t="s">
        <v>116</v>
      </c>
      <c r="H293" t="s">
        <v>493</v>
      </c>
      <c r="I293" t="str">
        <f t="shared" si="35"/>
        <v>Falabella</v>
      </c>
      <c r="J293" t="str">
        <f t="shared" si="38"/>
        <v>MallPlazaVespucio</v>
      </c>
      <c r="K293" t="str">
        <f t="shared" si="39"/>
        <v>Efectivo</v>
      </c>
      <c r="L293" t="str" cm="1">
        <f t="array" ref="L293">_xlfn.IFS(J293="AltoLasCondes","MallAltoLasCondes",J293="MallPlazaEgaña","MallPlazaEgana",J293="CencoMallCostanera","CostaneraCenter", TRUE,J293)</f>
        <v>MallPlazaVespucio</v>
      </c>
      <c r="M293" t="str">
        <f t="shared" si="36"/>
        <v>Efectivo</v>
      </c>
    </row>
    <row r="294" spans="1:14" x14ac:dyDescent="0.2">
      <c r="A294" t="s">
        <v>55</v>
      </c>
      <c r="B294" t="str" cm="1">
        <f t="array" ref="B294:C294">_xlfn.TEXTSPLIT(A294,"_")</f>
        <v>Nicolás</v>
      </c>
      <c r="C294" t="str">
        <v>Olea</v>
      </c>
      <c r="D294" t="s">
        <v>50</v>
      </c>
      <c r="E294" t="s">
        <v>67</v>
      </c>
      <c r="F294" t="s">
        <v>52</v>
      </c>
      <c r="G294" t="s">
        <v>482</v>
      </c>
      <c r="H294" t="s">
        <v>494</v>
      </c>
      <c r="I294" t="str">
        <f t="shared" si="35"/>
        <v>Easy</v>
      </c>
      <c r="J294" t="str">
        <f t="shared" si="38"/>
        <v>CencoMallCostanera</v>
      </c>
      <c r="K294" t="str">
        <f t="shared" si="39"/>
        <v>Visa</v>
      </c>
      <c r="L294" t="str" cm="1">
        <f t="array" ref="L294">_xlfn.IFS(J294="AltoLasCondes","MallAltoLasCondes",J294="MallPlazaEgaña","MallPlazaEgana",J294="CencoMallCostanera","CostaneraCenter", TRUE,J294)</f>
        <v>CostaneraCenter</v>
      </c>
      <c r="M294" t="str">
        <f t="shared" si="36"/>
        <v>Visa</v>
      </c>
    </row>
    <row r="295" spans="1:14" x14ac:dyDescent="0.2">
      <c r="A295" t="s">
        <v>66</v>
      </c>
      <c r="B295" t="str" cm="1">
        <f t="array" ref="B295:C295">_xlfn.TEXTSPLIT(A295,"_")</f>
        <v>Priscilia</v>
      </c>
      <c r="C295" t="str">
        <v>Welch</v>
      </c>
      <c r="D295" t="s">
        <v>78</v>
      </c>
      <c r="E295" t="s">
        <v>31</v>
      </c>
      <c r="F295" t="s">
        <v>26</v>
      </c>
      <c r="G295" t="s">
        <v>355</v>
      </c>
      <c r="H295" t="s">
        <v>495</v>
      </c>
      <c r="I295" t="str">
        <f t="shared" si="35"/>
        <v>SantaIsabel</v>
      </c>
      <c r="J295" t="str">
        <f t="shared" si="38"/>
        <v>ParqueArauco</v>
      </c>
      <c r="K295" t="str">
        <f t="shared" si="39"/>
        <v>AmericanExpress</v>
      </c>
      <c r="L295" t="str" cm="1">
        <f t="array" ref="L295">_xlfn.IFS(J295="AltoLasCondes","MallAltoLasCondes",J295="MallPlazaEgaña","MallPlazaEgana",J295="CencoMallCostanera","CostaneraCenter", TRUE,J295)</f>
        <v>ParqueArauco</v>
      </c>
      <c r="M295" t="str">
        <f t="shared" si="36"/>
        <v>AmericanExpress</v>
      </c>
    </row>
    <row r="296" spans="1:14" x14ac:dyDescent="0.2">
      <c r="A296" t="s">
        <v>124</v>
      </c>
      <c r="B296" t="str" cm="1">
        <f t="array" ref="B296:C296">_xlfn.TEXTSPLIT(A296,"_")</f>
        <v>Ignacio</v>
      </c>
      <c r="C296" t="str">
        <v>Reyes</v>
      </c>
      <c r="D296" t="s">
        <v>190</v>
      </c>
      <c r="E296" t="s">
        <v>79</v>
      </c>
      <c r="F296" t="s">
        <v>9</v>
      </c>
      <c r="G296" t="s">
        <v>170</v>
      </c>
      <c r="H296" t="s">
        <v>496</v>
      </c>
      <c r="I296" t="str">
        <f t="shared" si="35"/>
        <v>SantaIsabel</v>
      </c>
      <c r="J296" t="str">
        <f t="shared" si="38"/>
        <v>ParqueArauco</v>
      </c>
      <c r="K296" t="str">
        <f t="shared" si="39"/>
        <v>Efectivo</v>
      </c>
      <c r="L296" t="str" cm="1">
        <f t="array" ref="L296">_xlfn.IFS(J296="AltoLasCondes","MallAltoLasCondes",J296="MallPlazaEgaña","MallPlazaEgana",J296="CencoMallCostanera","CostaneraCenter", TRUE,J296)</f>
        <v>ParqueArauco</v>
      </c>
      <c r="M296" t="str">
        <f t="shared" si="36"/>
        <v>Efectivo</v>
      </c>
      <c r="N296" t="str">
        <f t="shared" ref="N296:N297" si="41">LEFT(H296,3)</f>
        <v>AUX</v>
      </c>
    </row>
    <row r="297" spans="1:14" x14ac:dyDescent="0.2">
      <c r="A297" t="s">
        <v>18</v>
      </c>
      <c r="B297" t="str" cm="1">
        <f t="array" ref="B297:C297">_xlfn.TEXTSPLIT(A297,"_")</f>
        <v>Xander</v>
      </c>
      <c r="C297" t="str">
        <v>Knight</v>
      </c>
      <c r="D297" t="s">
        <v>146</v>
      </c>
      <c r="E297" t="s">
        <v>31</v>
      </c>
      <c r="F297" t="s">
        <v>147</v>
      </c>
      <c r="G297" t="s">
        <v>127</v>
      </c>
      <c r="H297" t="s">
        <v>497</v>
      </c>
      <c r="I297" t="str">
        <f t="shared" si="35"/>
        <v>H&amp;M</v>
      </c>
      <c r="J297" t="str">
        <f t="shared" si="38"/>
        <v>ParqueArauco</v>
      </c>
      <c r="K297" t="str">
        <f t="shared" si="39"/>
        <v>Americanexpress</v>
      </c>
      <c r="L297" t="str" cm="1">
        <f t="array" ref="L297">_xlfn.IFS(J297="AltoLasCondes","MallAltoLasCondes",J297="MallPlazaEgaña","MallPlazaEgana",J297="CencoMallCostanera","CostaneraCenter", TRUE,J297)</f>
        <v>ParqueArauco</v>
      </c>
      <c r="M297" t="str">
        <f t="shared" si="36"/>
        <v>Americanexpress</v>
      </c>
      <c r="N297" t="str">
        <f t="shared" si="41"/>
        <v>RET</v>
      </c>
    </row>
    <row r="298" spans="1:14" x14ac:dyDescent="0.2">
      <c r="A298" t="s">
        <v>24</v>
      </c>
      <c r="B298" t="str" cm="1">
        <f t="array" ref="B298:C298">_xlfn.TEXTSPLIT(A298,"_")</f>
        <v>Dante</v>
      </c>
      <c r="C298" t="str">
        <v>Morrow</v>
      </c>
      <c r="D298" t="s">
        <v>125</v>
      </c>
      <c r="E298" t="s">
        <v>14</v>
      </c>
      <c r="F298" t="s">
        <v>21</v>
      </c>
      <c r="G298" t="s">
        <v>343</v>
      </c>
      <c r="H298" t="s">
        <v>498</v>
      </c>
      <c r="I298" t="str">
        <f t="shared" si="35"/>
        <v>Ripley</v>
      </c>
      <c r="J298" t="str">
        <f t="shared" si="38"/>
        <v>MallPlazaEgaña</v>
      </c>
      <c r="K298" t="str">
        <f t="shared" si="39"/>
        <v>Visa</v>
      </c>
      <c r="L298" t="str" cm="1">
        <f t="array" ref="L298">_xlfn.IFS(J298="AltoLasCondes","MallAltoLasCondes",J298="MallPlazaEgaña","MallPlazaEgana",J298="CencoMallCostanera","CostaneraCenter", TRUE,J298)</f>
        <v>MallPlazaEgana</v>
      </c>
      <c r="M298" t="str">
        <f t="shared" si="36"/>
        <v>Visa</v>
      </c>
    </row>
    <row r="299" spans="1:14" x14ac:dyDescent="0.2">
      <c r="A299" t="s">
        <v>29</v>
      </c>
      <c r="B299" t="str" cm="1">
        <f t="array" ref="B299:C299">_xlfn.TEXTSPLIT(A299,"_")</f>
        <v>Lucas</v>
      </c>
      <c r="C299" t="str">
        <v>Echeverría</v>
      </c>
      <c r="D299" t="s">
        <v>19</v>
      </c>
      <c r="E299" t="s">
        <v>216</v>
      </c>
      <c r="F299" t="s">
        <v>9</v>
      </c>
      <c r="G299" t="s">
        <v>207</v>
      </c>
      <c r="H299" t="s">
        <v>499</v>
      </c>
      <c r="I299" t="str">
        <f t="shared" si="35"/>
        <v>Falabella</v>
      </c>
      <c r="J299" t="str">
        <f t="shared" si="38"/>
        <v>MallPlazaEgana</v>
      </c>
      <c r="K299" t="str">
        <f t="shared" si="39"/>
        <v>Efectivo</v>
      </c>
      <c r="L299" t="str" cm="1">
        <f t="array" ref="L299">_xlfn.IFS(J299="AltoLasCondes","MallAltoLasCondes",J299="MallPlazaEgaña","MallPlazaEgana",J299="CencoMallCostanera","CostaneraCenter", TRUE,J299)</f>
        <v>MallPlazaEgana</v>
      </c>
      <c r="M299" t="str">
        <f t="shared" si="36"/>
        <v>Efectivo</v>
      </c>
    </row>
    <row r="300" spans="1:14" x14ac:dyDescent="0.2">
      <c r="A300" t="s">
        <v>70</v>
      </c>
      <c r="B300" t="str" cm="1">
        <f t="array" ref="B300:C300">_xlfn.TEXTSPLIT(A300,"_")</f>
        <v>Liora</v>
      </c>
      <c r="C300" t="str">
        <v>Pace</v>
      </c>
      <c r="D300" t="s">
        <v>295</v>
      </c>
      <c r="E300" t="s">
        <v>59</v>
      </c>
      <c r="F300" t="s">
        <v>57</v>
      </c>
      <c r="G300" t="s">
        <v>500</v>
      </c>
      <c r="H300" t="s">
        <v>501</v>
      </c>
      <c r="I300" t="str">
        <f t="shared" si="35"/>
        <v>Sodimac</v>
      </c>
      <c r="J300" t="str">
        <f t="shared" si="38"/>
        <v>AltoLasCondes</v>
      </c>
      <c r="K300" t="str">
        <f t="shared" si="39"/>
        <v>Efectivo</v>
      </c>
      <c r="L300" t="str" cm="1">
        <f t="array" ref="L300">_xlfn.IFS(J300="AltoLasCondes","MallAltoLasCondes",J300="MallPlazaEgaña","MallPlazaEgana",J300="CencoMallCostanera","CostaneraCenter", TRUE,J300)</f>
        <v>MallAltoLasCondes</v>
      </c>
      <c r="M300" t="str">
        <f t="shared" si="36"/>
        <v>Efectivo</v>
      </c>
    </row>
    <row r="301" spans="1:14" x14ac:dyDescent="0.2">
      <c r="A301" t="s">
        <v>215</v>
      </c>
      <c r="B301" t="str" cm="1">
        <f t="array" ref="B301:C301">_xlfn.TEXTSPLIT(A301,"_")</f>
        <v>Cole</v>
      </c>
      <c r="C301" t="str">
        <v>Bray</v>
      </c>
      <c r="D301" t="s">
        <v>146</v>
      </c>
      <c r="E301" t="s">
        <v>91</v>
      </c>
      <c r="F301" t="s">
        <v>147</v>
      </c>
      <c r="G301" t="s">
        <v>502</v>
      </c>
      <c r="H301" t="s">
        <v>503</v>
      </c>
      <c r="I301" t="str">
        <f t="shared" si="35"/>
        <v>H&amp;M</v>
      </c>
      <c r="J301" t="str">
        <f t="shared" si="38"/>
        <v>CostaneraCenter</v>
      </c>
      <c r="K301" t="str">
        <f t="shared" si="39"/>
        <v>Americanexpress</v>
      </c>
      <c r="L301" t="str" cm="1">
        <f t="array" ref="L301">_xlfn.IFS(J301="AltoLasCondes","MallAltoLasCondes",J301="MallPlazaEgaña","MallPlazaEgana",J301="CencoMallCostanera","CostaneraCenter", TRUE,J301)</f>
        <v>CostaneraCenter</v>
      </c>
      <c r="M301" t="str">
        <f t="shared" si="36"/>
        <v>Americanexpress</v>
      </c>
    </row>
  </sheetData>
  <autoFilter ref="A1:H301" xr:uid="{00000000-0001-0000-0000-000000000000}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Alejandro Saavedra Morales</cp:lastModifiedBy>
  <cp:revision>4</cp:revision>
  <dcterms:created xsi:type="dcterms:W3CDTF">2026-05-01T21:04:39Z</dcterms:created>
  <dcterms:modified xsi:type="dcterms:W3CDTF">2026-05-05T00:32:38Z</dcterms:modified>
  <dc:language>es-CL</dc:language>
</cp:coreProperties>
</file>