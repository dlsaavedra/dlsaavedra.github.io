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uccl0-my.sharepoint.com/personal/dlsaavedra_uc_cl/Documents/Desktop/Doctorado_Estadistica/2026_1/Lab_EYP1707/Base_Datos_Actividades/Lab14/"/>
    </mc:Choice>
  </mc:AlternateContent>
  <xr:revisionPtr revIDLastSave="121" documentId="8_{DDC236CC-F949-8544-9B77-7541857621E8}" xr6:coauthVersionLast="47" xr6:coauthVersionMax="47" xr10:uidLastSave="{F724FCAB-38C1-6E42-ABBF-4854DFB86F66}"/>
  <bookViews>
    <workbookView xWindow="0" yWindow="0" windowWidth="38400" windowHeight="21600" activeTab="1" xr2:uid="{00000000-000D-0000-FFFF-FFFF00000000}"/>
  </bookViews>
  <sheets>
    <sheet name="Hoja1" sheetId="2" r:id="rId1"/>
    <sheet name="Sheet2" sheetId="4" r:id="rId2"/>
    <sheet name="Sheet1" sheetId="3" r:id="rId3"/>
  </sheets>
  <definedNames>
    <definedName name="_xlnm._FilterDatabase" localSheetId="0" hidden="1">Hoja1!$A$1:$F$351</definedName>
    <definedName name="_xlchart.v1.0" hidden="1">Hoja1!$E$1</definedName>
    <definedName name="_xlchart.v1.1" hidden="1">Hoja1!$E$2:$E$351</definedName>
    <definedName name="_xlchart.v1.2" hidden="1">Hoja1!$F$1</definedName>
    <definedName name="_xlchart.v1.3" hidden="1">Hoja1!$F$2:$F$351</definedName>
    <definedName name="_xlchart.v1.4" hidden="1">Hoja1!$E$1</definedName>
    <definedName name="_xlchart.v1.5" hidden="1">Hoja1!$E$2:$E$351</definedName>
  </definedNames>
  <calcPr calcId="191029" iterateDelta="1E-4"/>
  <pivotCaches>
    <pivotCache cacheId="1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4" l="1"/>
  <c r="K3" i="4"/>
  <c r="L3" i="4"/>
  <c r="M3" i="4"/>
  <c r="N3" i="4"/>
  <c r="I3" i="4"/>
  <c r="E7" i="3"/>
  <c r="E8" i="3"/>
  <c r="D4" i="3"/>
  <c r="D8" i="3" s="1"/>
  <c r="H2" i="3"/>
  <c r="G2" i="3"/>
  <c r="E4" i="3" s="1"/>
  <c r="C7" i="3"/>
  <c r="C8" i="3"/>
  <c r="B8" i="3"/>
  <c r="B7" i="3"/>
  <c r="I2" i="2"/>
  <c r="J2" i="2"/>
  <c r="K2" i="2"/>
  <c r="L2" i="2"/>
  <c r="H2" i="2"/>
  <c r="D7" i="3" l="1"/>
</calcChain>
</file>

<file path=xl/sharedStrings.xml><?xml version="1.0" encoding="utf-8"?>
<sst xmlns="http://schemas.openxmlformats.org/spreadsheetml/2006/main" count="729" uniqueCount="25">
  <si>
    <t>MRUN</t>
  </si>
  <si>
    <t>EDAD</t>
  </si>
  <si>
    <t>COD_DEPE</t>
  </si>
  <si>
    <t>NEM</t>
  </si>
  <si>
    <t>Mujer</t>
  </si>
  <si>
    <t>Hombre</t>
  </si>
  <si>
    <t>PROMEDIO</t>
  </si>
  <si>
    <t>SEXO</t>
  </si>
  <si>
    <t>Row Labels</t>
  </si>
  <si>
    <t>(blank)</t>
  </si>
  <si>
    <t>Grand Total</t>
  </si>
  <si>
    <t>Count of EDAD</t>
  </si>
  <si>
    <t>Count of SEXO</t>
  </si>
  <si>
    <t>Count of COD_DEPE</t>
  </si>
  <si>
    <t>|</t>
  </si>
  <si>
    <t>Blancos edad</t>
  </si>
  <si>
    <t>Notas</t>
  </si>
  <si>
    <t>Promedio</t>
  </si>
  <si>
    <t>Varainza</t>
  </si>
  <si>
    <t>Asistencia</t>
  </si>
  <si>
    <t>Intercepto</t>
  </si>
  <si>
    <t>Pendiente</t>
  </si>
  <si>
    <t>Nota_Imputacion Media</t>
  </si>
  <si>
    <t>Nota_Imputacion_Regresion</t>
  </si>
  <si>
    <t>Contar Blancos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</si>
</sst>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0" fillId="0" borderId="0" xfId="0" applyFont="1"/>
    <xf numFmtId="164" fontId="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[estudiantes.xlsx]Hoja1!PivotTable2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247594050743651E-2"/>
          <c:y val="0.19209499854184894"/>
          <c:w val="0.77616426071741029"/>
          <c:h val="0.65344488188976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Hoja1!$N$3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Hoja1!$M$4:$M$20</c:f>
              <c:strCache>
                <c:ptCount val="1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29</c:v>
                </c:pt>
                <c:pt idx="12">
                  <c:v>32</c:v>
                </c:pt>
                <c:pt idx="13">
                  <c:v>36</c:v>
                </c:pt>
                <c:pt idx="14">
                  <c:v>45</c:v>
                </c:pt>
                <c:pt idx="15">
                  <c:v>(blank)</c:v>
                </c:pt>
              </c:strCache>
            </c:strRef>
          </c:cat>
          <c:val>
            <c:numRef>
              <c:f>Hoja1!$N$4:$N$20</c:f>
              <c:numCache>
                <c:formatCode>General</c:formatCode>
                <c:ptCount val="16"/>
                <c:pt idx="0">
                  <c:v>3</c:v>
                </c:pt>
                <c:pt idx="1">
                  <c:v>137</c:v>
                </c:pt>
                <c:pt idx="2">
                  <c:v>112</c:v>
                </c:pt>
                <c:pt idx="3">
                  <c:v>35</c:v>
                </c:pt>
                <c:pt idx="4">
                  <c:v>18</c:v>
                </c:pt>
                <c:pt idx="5">
                  <c:v>5</c:v>
                </c:pt>
                <c:pt idx="6">
                  <c:v>8</c:v>
                </c:pt>
                <c:pt idx="7">
                  <c:v>9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97-1647-B686-DEDCD35AF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7668096"/>
        <c:axId val="1577675264"/>
      </c:barChart>
      <c:catAx>
        <c:axId val="157766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577675264"/>
        <c:crosses val="autoZero"/>
        <c:auto val="1"/>
        <c:lblAlgn val="ctr"/>
        <c:lblOffset val="100"/>
        <c:noMultiLvlLbl val="0"/>
      </c:catAx>
      <c:valAx>
        <c:axId val="157767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57766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[estudiantes.xlsx]Hoja1!PivotTable3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Hoja1!$Q$3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Hoja1!$P$4:$P$7</c:f>
              <c:strCache>
                <c:ptCount val="3"/>
                <c:pt idx="0">
                  <c:v>Hombre</c:v>
                </c:pt>
                <c:pt idx="1">
                  <c:v>Mujer</c:v>
                </c:pt>
                <c:pt idx="2">
                  <c:v>(blank)</c:v>
                </c:pt>
              </c:strCache>
            </c:strRef>
          </c:cat>
          <c:val>
            <c:numRef>
              <c:f>Hoja1!$Q$4:$Q$7</c:f>
              <c:numCache>
                <c:formatCode>General</c:formatCode>
                <c:ptCount val="3"/>
                <c:pt idx="0">
                  <c:v>175</c:v>
                </c:pt>
                <c:pt idx="1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53-E349-94B4-9DEE0F2FD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[estudiantes.xlsx]Hoja1!PivotTable4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Hoja1!$T$3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Hoja1!$S$4:$S$8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(blank)</c:v>
                </c:pt>
              </c:strCache>
            </c:strRef>
          </c:cat>
          <c:val>
            <c:numRef>
              <c:f>Hoja1!$T$4:$T$8</c:f>
              <c:numCache>
                <c:formatCode>General</c:formatCode>
                <c:ptCount val="4"/>
                <c:pt idx="0">
                  <c:v>105</c:v>
                </c:pt>
                <c:pt idx="1">
                  <c:v>225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6-7443-96A0-496CE9ABE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1478976"/>
        <c:axId val="1571480768"/>
      </c:barChart>
      <c:catAx>
        <c:axId val="157147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571480768"/>
        <c:crosses val="autoZero"/>
        <c:auto val="1"/>
        <c:lblAlgn val="ctr"/>
        <c:lblOffset val="100"/>
        <c:noMultiLvlLbl val="0"/>
      </c:catAx>
      <c:valAx>
        <c:axId val="157148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57147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Hoja1!$F$1</c:f>
              <c:strCache>
                <c:ptCount val="1"/>
                <c:pt idx="0">
                  <c:v>PROMEDIO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Hoja1!$E$2:$E$351</c:f>
              <c:numCache>
                <c:formatCode>General</c:formatCode>
                <c:ptCount val="350"/>
                <c:pt idx="0">
                  <c:v>570</c:v>
                </c:pt>
                <c:pt idx="1">
                  <c:v>570</c:v>
                </c:pt>
                <c:pt idx="2">
                  <c:v>612</c:v>
                </c:pt>
                <c:pt idx="3">
                  <c:v>653</c:v>
                </c:pt>
                <c:pt idx="4">
                  <c:v>653</c:v>
                </c:pt>
                <c:pt idx="5">
                  <c:v>660</c:v>
                </c:pt>
                <c:pt idx="6">
                  <c:v>630</c:v>
                </c:pt>
                <c:pt idx="7">
                  <c:v>653</c:v>
                </c:pt>
                <c:pt idx="8">
                  <c:v>567</c:v>
                </c:pt>
                <c:pt idx="9">
                  <c:v>576</c:v>
                </c:pt>
                <c:pt idx="10">
                  <c:v>593</c:v>
                </c:pt>
                <c:pt idx="11">
                  <c:v>640</c:v>
                </c:pt>
                <c:pt idx="12">
                  <c:v>640</c:v>
                </c:pt>
                <c:pt idx="13">
                  <c:v>615</c:v>
                </c:pt>
                <c:pt idx="14">
                  <c:v>550</c:v>
                </c:pt>
                <c:pt idx="15">
                  <c:v>663</c:v>
                </c:pt>
                <c:pt idx="16">
                  <c:v>585</c:v>
                </c:pt>
                <c:pt idx="17">
                  <c:v>607</c:v>
                </c:pt>
                <c:pt idx="18">
                  <c:v>607</c:v>
                </c:pt>
                <c:pt idx="19">
                  <c:v>657</c:v>
                </c:pt>
                <c:pt idx="20">
                  <c:v>575</c:v>
                </c:pt>
                <c:pt idx="21">
                  <c:v>677</c:v>
                </c:pt>
                <c:pt idx="22">
                  <c:v>669</c:v>
                </c:pt>
                <c:pt idx="23">
                  <c:v>655</c:v>
                </c:pt>
                <c:pt idx="24">
                  <c:v>590</c:v>
                </c:pt>
                <c:pt idx="25">
                  <c:v>590</c:v>
                </c:pt>
                <c:pt idx="26">
                  <c:v>660</c:v>
                </c:pt>
                <c:pt idx="27">
                  <c:v>600</c:v>
                </c:pt>
                <c:pt idx="28">
                  <c:v>586</c:v>
                </c:pt>
                <c:pt idx="29">
                  <c:v>600</c:v>
                </c:pt>
                <c:pt idx="30">
                  <c:v>525</c:v>
                </c:pt>
                <c:pt idx="31">
                  <c:v>620</c:v>
                </c:pt>
                <c:pt idx="32">
                  <c:v>540</c:v>
                </c:pt>
                <c:pt idx="33">
                  <c:v>575</c:v>
                </c:pt>
                <c:pt idx="34">
                  <c:v>557</c:v>
                </c:pt>
                <c:pt idx="35">
                  <c:v>600</c:v>
                </c:pt>
                <c:pt idx="36">
                  <c:v>575</c:v>
                </c:pt>
                <c:pt idx="37">
                  <c:v>595</c:v>
                </c:pt>
                <c:pt idx="38">
                  <c:v>595</c:v>
                </c:pt>
                <c:pt idx="39">
                  <c:v>660</c:v>
                </c:pt>
                <c:pt idx="40">
                  <c:v>700</c:v>
                </c:pt>
                <c:pt idx="41">
                  <c:v>553</c:v>
                </c:pt>
                <c:pt idx="42">
                  <c:v>607</c:v>
                </c:pt>
                <c:pt idx="43">
                  <c:v>630</c:v>
                </c:pt>
                <c:pt idx="44">
                  <c:v>657</c:v>
                </c:pt>
                <c:pt idx="45">
                  <c:v>547</c:v>
                </c:pt>
                <c:pt idx="46">
                  <c:v>547</c:v>
                </c:pt>
                <c:pt idx="47">
                  <c:v>550</c:v>
                </c:pt>
                <c:pt idx="48">
                  <c:v>600</c:v>
                </c:pt>
                <c:pt idx="49">
                  <c:v>596</c:v>
                </c:pt>
                <c:pt idx="50">
                  <c:v>596</c:v>
                </c:pt>
                <c:pt idx="51">
                  <c:v>599</c:v>
                </c:pt>
                <c:pt idx="52">
                  <c:v>537</c:v>
                </c:pt>
                <c:pt idx="53">
                  <c:v>625</c:v>
                </c:pt>
                <c:pt idx="54">
                  <c:v>667</c:v>
                </c:pt>
                <c:pt idx="55">
                  <c:v>632</c:v>
                </c:pt>
                <c:pt idx="56">
                  <c:v>632</c:v>
                </c:pt>
                <c:pt idx="57">
                  <c:v>575</c:v>
                </c:pt>
                <c:pt idx="58">
                  <c:v>590</c:v>
                </c:pt>
                <c:pt idx="59">
                  <c:v>567</c:v>
                </c:pt>
                <c:pt idx="60">
                  <c:v>657</c:v>
                </c:pt>
                <c:pt idx="61">
                  <c:v>610</c:v>
                </c:pt>
                <c:pt idx="62">
                  <c:v>630</c:v>
                </c:pt>
                <c:pt idx="63">
                  <c:v>675</c:v>
                </c:pt>
                <c:pt idx="64">
                  <c:v>627</c:v>
                </c:pt>
                <c:pt idx="65">
                  <c:v>665</c:v>
                </c:pt>
                <c:pt idx="66">
                  <c:v>680</c:v>
                </c:pt>
                <c:pt idx="67">
                  <c:v>610</c:v>
                </c:pt>
                <c:pt idx="68">
                  <c:v>599</c:v>
                </c:pt>
                <c:pt idx="69">
                  <c:v>655</c:v>
                </c:pt>
                <c:pt idx="70">
                  <c:v>605</c:v>
                </c:pt>
                <c:pt idx="71">
                  <c:v>631</c:v>
                </c:pt>
                <c:pt idx="72">
                  <c:v>575</c:v>
                </c:pt>
                <c:pt idx="73">
                  <c:v>610</c:v>
                </c:pt>
                <c:pt idx="74">
                  <c:v>650</c:v>
                </c:pt>
                <c:pt idx="75">
                  <c:v>614</c:v>
                </c:pt>
                <c:pt idx="76">
                  <c:v>580</c:v>
                </c:pt>
                <c:pt idx="77">
                  <c:v>585</c:v>
                </c:pt>
                <c:pt idx="78">
                  <c:v>637</c:v>
                </c:pt>
                <c:pt idx="79">
                  <c:v>582</c:v>
                </c:pt>
                <c:pt idx="80">
                  <c:v>633</c:v>
                </c:pt>
                <c:pt idx="81">
                  <c:v>698</c:v>
                </c:pt>
                <c:pt idx="82">
                  <c:v>590</c:v>
                </c:pt>
                <c:pt idx="83">
                  <c:v>645</c:v>
                </c:pt>
                <c:pt idx="84">
                  <c:v>630</c:v>
                </c:pt>
                <c:pt idx="85">
                  <c:v>678</c:v>
                </c:pt>
                <c:pt idx="86">
                  <c:v>528</c:v>
                </c:pt>
                <c:pt idx="87">
                  <c:v>610</c:v>
                </c:pt>
                <c:pt idx="88">
                  <c:v>647</c:v>
                </c:pt>
                <c:pt idx="89">
                  <c:v>682</c:v>
                </c:pt>
                <c:pt idx="90">
                  <c:v>642</c:v>
                </c:pt>
                <c:pt idx="91">
                  <c:v>675</c:v>
                </c:pt>
                <c:pt idx="92">
                  <c:v>585</c:v>
                </c:pt>
                <c:pt idx="93">
                  <c:v>553</c:v>
                </c:pt>
                <c:pt idx="94">
                  <c:v>662</c:v>
                </c:pt>
                <c:pt idx="95">
                  <c:v>675</c:v>
                </c:pt>
                <c:pt idx="96">
                  <c:v>675</c:v>
                </c:pt>
                <c:pt idx="97">
                  <c:v>545</c:v>
                </c:pt>
                <c:pt idx="98">
                  <c:v>627</c:v>
                </c:pt>
                <c:pt idx="99">
                  <c:v>629</c:v>
                </c:pt>
                <c:pt idx="100">
                  <c:v>670</c:v>
                </c:pt>
                <c:pt idx="101">
                  <c:v>629</c:v>
                </c:pt>
                <c:pt idx="102">
                  <c:v>625</c:v>
                </c:pt>
                <c:pt idx="103">
                  <c:v>575</c:v>
                </c:pt>
                <c:pt idx="104">
                  <c:v>582</c:v>
                </c:pt>
                <c:pt idx="105">
                  <c:v>620</c:v>
                </c:pt>
                <c:pt idx="106">
                  <c:v>620</c:v>
                </c:pt>
                <c:pt idx="107">
                  <c:v>562</c:v>
                </c:pt>
                <c:pt idx="108">
                  <c:v>605</c:v>
                </c:pt>
                <c:pt idx="109">
                  <c:v>640</c:v>
                </c:pt>
                <c:pt idx="110">
                  <c:v>615</c:v>
                </c:pt>
                <c:pt idx="111">
                  <c:v>635</c:v>
                </c:pt>
                <c:pt idx="112">
                  <c:v>610</c:v>
                </c:pt>
                <c:pt idx="113">
                  <c:v>540</c:v>
                </c:pt>
                <c:pt idx="114">
                  <c:v>632</c:v>
                </c:pt>
                <c:pt idx="115">
                  <c:v>560</c:v>
                </c:pt>
                <c:pt idx="116">
                  <c:v>540</c:v>
                </c:pt>
                <c:pt idx="117">
                  <c:v>593</c:v>
                </c:pt>
                <c:pt idx="118">
                  <c:v>602</c:v>
                </c:pt>
                <c:pt idx="119">
                  <c:v>630</c:v>
                </c:pt>
                <c:pt idx="120">
                  <c:v>643</c:v>
                </c:pt>
                <c:pt idx="121">
                  <c:v>632</c:v>
                </c:pt>
                <c:pt idx="122">
                  <c:v>662</c:v>
                </c:pt>
                <c:pt idx="123">
                  <c:v>610</c:v>
                </c:pt>
                <c:pt idx="124">
                  <c:v>580</c:v>
                </c:pt>
                <c:pt idx="125">
                  <c:v>630</c:v>
                </c:pt>
                <c:pt idx="126">
                  <c:v>570</c:v>
                </c:pt>
                <c:pt idx="127">
                  <c:v>630</c:v>
                </c:pt>
                <c:pt idx="128">
                  <c:v>540</c:v>
                </c:pt>
                <c:pt idx="129">
                  <c:v>600</c:v>
                </c:pt>
                <c:pt idx="130">
                  <c:v>575</c:v>
                </c:pt>
                <c:pt idx="131">
                  <c:v>655</c:v>
                </c:pt>
                <c:pt idx="132">
                  <c:v>582</c:v>
                </c:pt>
                <c:pt idx="133">
                  <c:v>582</c:v>
                </c:pt>
                <c:pt idx="134">
                  <c:v>610</c:v>
                </c:pt>
                <c:pt idx="135">
                  <c:v>652</c:v>
                </c:pt>
                <c:pt idx="136">
                  <c:v>565</c:v>
                </c:pt>
                <c:pt idx="137">
                  <c:v>565</c:v>
                </c:pt>
                <c:pt idx="138">
                  <c:v>580</c:v>
                </c:pt>
                <c:pt idx="139">
                  <c:v>635</c:v>
                </c:pt>
                <c:pt idx="140">
                  <c:v>610</c:v>
                </c:pt>
                <c:pt idx="141">
                  <c:v>580</c:v>
                </c:pt>
                <c:pt idx="142">
                  <c:v>677</c:v>
                </c:pt>
                <c:pt idx="143">
                  <c:v>613</c:v>
                </c:pt>
                <c:pt idx="144">
                  <c:v>555</c:v>
                </c:pt>
                <c:pt idx="145">
                  <c:v>614</c:v>
                </c:pt>
                <c:pt idx="146">
                  <c:v>634</c:v>
                </c:pt>
                <c:pt idx="147">
                  <c:v>627</c:v>
                </c:pt>
                <c:pt idx="148">
                  <c:v>632</c:v>
                </c:pt>
                <c:pt idx="149">
                  <c:v>515</c:v>
                </c:pt>
                <c:pt idx="150">
                  <c:v>590</c:v>
                </c:pt>
                <c:pt idx="151">
                  <c:v>634</c:v>
                </c:pt>
                <c:pt idx="152">
                  <c:v>643</c:v>
                </c:pt>
                <c:pt idx="153">
                  <c:v>608</c:v>
                </c:pt>
                <c:pt idx="154">
                  <c:v>544</c:v>
                </c:pt>
                <c:pt idx="155">
                  <c:v>587</c:v>
                </c:pt>
                <c:pt idx="156">
                  <c:v>670</c:v>
                </c:pt>
                <c:pt idx="157">
                  <c:v>530</c:v>
                </c:pt>
                <c:pt idx="158">
                  <c:v>560</c:v>
                </c:pt>
                <c:pt idx="159">
                  <c:v>655</c:v>
                </c:pt>
                <c:pt idx="160">
                  <c:v>599</c:v>
                </c:pt>
                <c:pt idx="161">
                  <c:v>600</c:v>
                </c:pt>
                <c:pt idx="162">
                  <c:v>600</c:v>
                </c:pt>
                <c:pt idx="163">
                  <c:v>580</c:v>
                </c:pt>
                <c:pt idx="164">
                  <c:v>592</c:v>
                </c:pt>
                <c:pt idx="165">
                  <c:v>662</c:v>
                </c:pt>
                <c:pt idx="166">
                  <c:v>560</c:v>
                </c:pt>
                <c:pt idx="167">
                  <c:v>670</c:v>
                </c:pt>
                <c:pt idx="168">
                  <c:v>643</c:v>
                </c:pt>
                <c:pt idx="169">
                  <c:v>675</c:v>
                </c:pt>
                <c:pt idx="170">
                  <c:v>585</c:v>
                </c:pt>
                <c:pt idx="171">
                  <c:v>660</c:v>
                </c:pt>
                <c:pt idx="172">
                  <c:v>633</c:v>
                </c:pt>
                <c:pt idx="173">
                  <c:v>637</c:v>
                </c:pt>
                <c:pt idx="174">
                  <c:v>637</c:v>
                </c:pt>
                <c:pt idx="175">
                  <c:v>590</c:v>
                </c:pt>
                <c:pt idx="176">
                  <c:v>593</c:v>
                </c:pt>
                <c:pt idx="177">
                  <c:v>558</c:v>
                </c:pt>
                <c:pt idx="178">
                  <c:v>540</c:v>
                </c:pt>
                <c:pt idx="179">
                  <c:v>600</c:v>
                </c:pt>
                <c:pt idx="180">
                  <c:v>610</c:v>
                </c:pt>
                <c:pt idx="181">
                  <c:v>475</c:v>
                </c:pt>
                <c:pt idx="182">
                  <c:v>600</c:v>
                </c:pt>
                <c:pt idx="183">
                  <c:v>676</c:v>
                </c:pt>
                <c:pt idx="184">
                  <c:v>575</c:v>
                </c:pt>
                <c:pt idx="185">
                  <c:v>610</c:v>
                </c:pt>
                <c:pt idx="186">
                  <c:v>628</c:v>
                </c:pt>
                <c:pt idx="187">
                  <c:v>575</c:v>
                </c:pt>
                <c:pt idx="188">
                  <c:v>565</c:v>
                </c:pt>
                <c:pt idx="189">
                  <c:v>548</c:v>
                </c:pt>
                <c:pt idx="190">
                  <c:v>575</c:v>
                </c:pt>
                <c:pt idx="191">
                  <c:v>607</c:v>
                </c:pt>
                <c:pt idx="192">
                  <c:v>507</c:v>
                </c:pt>
                <c:pt idx="193">
                  <c:v>640</c:v>
                </c:pt>
                <c:pt idx="194">
                  <c:v>606</c:v>
                </c:pt>
                <c:pt idx="195">
                  <c:v>513</c:v>
                </c:pt>
                <c:pt idx="196">
                  <c:v>630</c:v>
                </c:pt>
                <c:pt idx="197">
                  <c:v>625</c:v>
                </c:pt>
                <c:pt idx="198">
                  <c:v>575</c:v>
                </c:pt>
                <c:pt idx="199">
                  <c:v>607</c:v>
                </c:pt>
                <c:pt idx="200">
                  <c:v>622</c:v>
                </c:pt>
                <c:pt idx="201">
                  <c:v>547</c:v>
                </c:pt>
                <c:pt idx="202">
                  <c:v>548</c:v>
                </c:pt>
                <c:pt idx="203">
                  <c:v>573</c:v>
                </c:pt>
                <c:pt idx="204">
                  <c:v>583</c:v>
                </c:pt>
                <c:pt idx="205">
                  <c:v>648</c:v>
                </c:pt>
                <c:pt idx="206">
                  <c:v>610</c:v>
                </c:pt>
                <c:pt idx="207">
                  <c:v>665</c:v>
                </c:pt>
                <c:pt idx="208">
                  <c:v>635</c:v>
                </c:pt>
                <c:pt idx="209">
                  <c:v>621</c:v>
                </c:pt>
                <c:pt idx="210">
                  <c:v>662</c:v>
                </c:pt>
                <c:pt idx="211">
                  <c:v>600</c:v>
                </c:pt>
                <c:pt idx="212">
                  <c:v>523</c:v>
                </c:pt>
                <c:pt idx="213">
                  <c:v>600</c:v>
                </c:pt>
                <c:pt idx="214">
                  <c:v>617</c:v>
                </c:pt>
                <c:pt idx="215">
                  <c:v>580</c:v>
                </c:pt>
                <c:pt idx="216">
                  <c:v>493</c:v>
                </c:pt>
                <c:pt idx="217">
                  <c:v>600</c:v>
                </c:pt>
                <c:pt idx="218">
                  <c:v>580</c:v>
                </c:pt>
                <c:pt idx="219">
                  <c:v>642</c:v>
                </c:pt>
                <c:pt idx="220">
                  <c:v>688</c:v>
                </c:pt>
                <c:pt idx="221">
                  <c:v>560</c:v>
                </c:pt>
                <c:pt idx="222">
                  <c:v>547</c:v>
                </c:pt>
                <c:pt idx="223">
                  <c:v>547</c:v>
                </c:pt>
                <c:pt idx="224">
                  <c:v>585</c:v>
                </c:pt>
                <c:pt idx="225">
                  <c:v>625</c:v>
                </c:pt>
                <c:pt idx="226">
                  <c:v>620</c:v>
                </c:pt>
                <c:pt idx="227">
                  <c:v>580</c:v>
                </c:pt>
                <c:pt idx="228">
                  <c:v>516</c:v>
                </c:pt>
                <c:pt idx="229">
                  <c:v>598</c:v>
                </c:pt>
                <c:pt idx="230">
                  <c:v>650</c:v>
                </c:pt>
                <c:pt idx="231">
                  <c:v>651</c:v>
                </c:pt>
                <c:pt idx="232">
                  <c:v>632</c:v>
                </c:pt>
                <c:pt idx="233">
                  <c:v>600</c:v>
                </c:pt>
                <c:pt idx="234">
                  <c:v>492</c:v>
                </c:pt>
                <c:pt idx="235">
                  <c:v>600</c:v>
                </c:pt>
                <c:pt idx="236">
                  <c:v>575</c:v>
                </c:pt>
                <c:pt idx="237">
                  <c:v>600</c:v>
                </c:pt>
                <c:pt idx="238">
                  <c:v>565</c:v>
                </c:pt>
                <c:pt idx="239">
                  <c:v>620</c:v>
                </c:pt>
                <c:pt idx="240">
                  <c:v>625</c:v>
                </c:pt>
                <c:pt idx="241">
                  <c:v>567</c:v>
                </c:pt>
                <c:pt idx="242">
                  <c:v>632</c:v>
                </c:pt>
                <c:pt idx="243">
                  <c:v>538</c:v>
                </c:pt>
                <c:pt idx="244">
                  <c:v>580</c:v>
                </c:pt>
                <c:pt idx="245">
                  <c:v>530</c:v>
                </c:pt>
                <c:pt idx="246">
                  <c:v>530</c:v>
                </c:pt>
                <c:pt idx="247">
                  <c:v>560</c:v>
                </c:pt>
                <c:pt idx="248">
                  <c:v>632</c:v>
                </c:pt>
                <c:pt idx="249">
                  <c:v>610</c:v>
                </c:pt>
                <c:pt idx="250">
                  <c:v>623</c:v>
                </c:pt>
                <c:pt idx="251">
                  <c:v>518</c:v>
                </c:pt>
                <c:pt idx="252">
                  <c:v>621</c:v>
                </c:pt>
                <c:pt idx="253">
                  <c:v>530</c:v>
                </c:pt>
                <c:pt idx="254">
                  <c:v>640</c:v>
                </c:pt>
                <c:pt idx="255">
                  <c:v>625</c:v>
                </c:pt>
                <c:pt idx="256">
                  <c:v>660</c:v>
                </c:pt>
                <c:pt idx="257">
                  <c:v>660</c:v>
                </c:pt>
                <c:pt idx="258">
                  <c:v>556</c:v>
                </c:pt>
                <c:pt idx="259">
                  <c:v>550</c:v>
                </c:pt>
                <c:pt idx="260">
                  <c:v>623</c:v>
                </c:pt>
                <c:pt idx="261">
                  <c:v>520</c:v>
                </c:pt>
                <c:pt idx="262">
                  <c:v>597</c:v>
                </c:pt>
                <c:pt idx="263">
                  <c:v>520</c:v>
                </c:pt>
                <c:pt idx="264">
                  <c:v>615</c:v>
                </c:pt>
                <c:pt idx="265">
                  <c:v>580</c:v>
                </c:pt>
                <c:pt idx="266">
                  <c:v>625</c:v>
                </c:pt>
                <c:pt idx="267">
                  <c:v>584</c:v>
                </c:pt>
                <c:pt idx="268">
                  <c:v>630</c:v>
                </c:pt>
                <c:pt idx="269">
                  <c:v>630</c:v>
                </c:pt>
                <c:pt idx="270">
                  <c:v>686</c:v>
                </c:pt>
                <c:pt idx="271">
                  <c:v>600</c:v>
                </c:pt>
                <c:pt idx="272">
                  <c:v>615</c:v>
                </c:pt>
                <c:pt idx="273">
                  <c:v>575</c:v>
                </c:pt>
                <c:pt idx="274">
                  <c:v>611</c:v>
                </c:pt>
                <c:pt idx="275">
                  <c:v>540</c:v>
                </c:pt>
                <c:pt idx="276">
                  <c:v>605</c:v>
                </c:pt>
                <c:pt idx="277">
                  <c:v>630</c:v>
                </c:pt>
                <c:pt idx="278">
                  <c:v>530</c:v>
                </c:pt>
                <c:pt idx="279">
                  <c:v>658</c:v>
                </c:pt>
                <c:pt idx="280">
                  <c:v>585</c:v>
                </c:pt>
                <c:pt idx="281">
                  <c:v>556</c:v>
                </c:pt>
                <c:pt idx="282">
                  <c:v>593</c:v>
                </c:pt>
                <c:pt idx="283">
                  <c:v>600</c:v>
                </c:pt>
                <c:pt idx="284">
                  <c:v>620</c:v>
                </c:pt>
                <c:pt idx="285">
                  <c:v>536</c:v>
                </c:pt>
                <c:pt idx="286">
                  <c:v>630</c:v>
                </c:pt>
                <c:pt idx="287">
                  <c:v>567</c:v>
                </c:pt>
                <c:pt idx="288">
                  <c:v>593</c:v>
                </c:pt>
                <c:pt idx="289">
                  <c:v>690</c:v>
                </c:pt>
                <c:pt idx="290">
                  <c:v>598</c:v>
                </c:pt>
                <c:pt idx="291">
                  <c:v>530</c:v>
                </c:pt>
                <c:pt idx="292">
                  <c:v>600</c:v>
                </c:pt>
                <c:pt idx="293">
                  <c:v>510</c:v>
                </c:pt>
                <c:pt idx="294">
                  <c:v>612</c:v>
                </c:pt>
                <c:pt idx="295">
                  <c:v>657</c:v>
                </c:pt>
                <c:pt idx="296">
                  <c:v>632</c:v>
                </c:pt>
                <c:pt idx="297">
                  <c:v>632</c:v>
                </c:pt>
                <c:pt idx="298">
                  <c:v>630</c:v>
                </c:pt>
                <c:pt idx="299">
                  <c:v>620</c:v>
                </c:pt>
                <c:pt idx="300">
                  <c:v>600</c:v>
                </c:pt>
                <c:pt idx="301">
                  <c:v>573</c:v>
                </c:pt>
                <c:pt idx="302">
                  <c:v>626</c:v>
                </c:pt>
                <c:pt idx="303">
                  <c:v>580</c:v>
                </c:pt>
                <c:pt idx="304">
                  <c:v>557</c:v>
                </c:pt>
                <c:pt idx="305">
                  <c:v>623</c:v>
                </c:pt>
                <c:pt idx="306">
                  <c:v>590</c:v>
                </c:pt>
                <c:pt idx="307">
                  <c:v>515</c:v>
                </c:pt>
                <c:pt idx="308">
                  <c:v>620</c:v>
                </c:pt>
                <c:pt idx="309">
                  <c:v>600</c:v>
                </c:pt>
                <c:pt idx="310">
                  <c:v>570</c:v>
                </c:pt>
                <c:pt idx="311">
                  <c:v>653</c:v>
                </c:pt>
                <c:pt idx="312">
                  <c:v>555</c:v>
                </c:pt>
                <c:pt idx="313">
                  <c:v>565</c:v>
                </c:pt>
                <c:pt idx="314">
                  <c:v>565</c:v>
                </c:pt>
                <c:pt idx="315">
                  <c:v>672</c:v>
                </c:pt>
                <c:pt idx="316">
                  <c:v>575</c:v>
                </c:pt>
                <c:pt idx="317">
                  <c:v>637</c:v>
                </c:pt>
                <c:pt idx="318">
                  <c:v>595</c:v>
                </c:pt>
                <c:pt idx="319">
                  <c:v>641</c:v>
                </c:pt>
                <c:pt idx="320">
                  <c:v>530</c:v>
                </c:pt>
                <c:pt idx="321">
                  <c:v>530</c:v>
                </c:pt>
                <c:pt idx="322">
                  <c:v>683</c:v>
                </c:pt>
                <c:pt idx="323">
                  <c:v>580</c:v>
                </c:pt>
                <c:pt idx="324">
                  <c:v>605</c:v>
                </c:pt>
                <c:pt idx="325">
                  <c:v>643</c:v>
                </c:pt>
                <c:pt idx="326">
                  <c:v>593</c:v>
                </c:pt>
                <c:pt idx="327">
                  <c:v>502</c:v>
                </c:pt>
                <c:pt idx="328">
                  <c:v>657</c:v>
                </c:pt>
                <c:pt idx="329">
                  <c:v>542</c:v>
                </c:pt>
                <c:pt idx="330">
                  <c:v>578</c:v>
                </c:pt>
                <c:pt idx="331">
                  <c:v>650</c:v>
                </c:pt>
                <c:pt idx="332">
                  <c:v>505</c:v>
                </c:pt>
                <c:pt idx="333">
                  <c:v>620</c:v>
                </c:pt>
                <c:pt idx="334">
                  <c:v>635</c:v>
                </c:pt>
                <c:pt idx="335">
                  <c:v>602</c:v>
                </c:pt>
                <c:pt idx="336">
                  <c:v>580</c:v>
                </c:pt>
                <c:pt idx="337">
                  <c:v>608</c:v>
                </c:pt>
                <c:pt idx="338">
                  <c:v>608</c:v>
                </c:pt>
                <c:pt idx="339">
                  <c:v>570</c:v>
                </c:pt>
                <c:pt idx="340">
                  <c:v>597</c:v>
                </c:pt>
                <c:pt idx="341">
                  <c:v>535</c:v>
                </c:pt>
                <c:pt idx="342">
                  <c:v>520</c:v>
                </c:pt>
                <c:pt idx="343">
                  <c:v>545</c:v>
                </c:pt>
                <c:pt idx="344">
                  <c:v>600</c:v>
                </c:pt>
                <c:pt idx="345">
                  <c:v>540</c:v>
                </c:pt>
                <c:pt idx="346">
                  <c:v>615</c:v>
                </c:pt>
                <c:pt idx="347">
                  <c:v>635</c:v>
                </c:pt>
                <c:pt idx="348">
                  <c:v>638</c:v>
                </c:pt>
                <c:pt idx="349">
                  <c:v>625</c:v>
                </c:pt>
              </c:numCache>
            </c:numRef>
          </c:xVal>
          <c:yVal>
            <c:numRef>
              <c:f>Hoja1!$F$2:$F$351</c:f>
              <c:numCache>
                <c:formatCode>0.0</c:formatCode>
                <c:ptCount val="350"/>
                <c:pt idx="0">
                  <c:v>4.5901103674081298</c:v>
                </c:pt>
                <c:pt idx="1">
                  <c:v>4.5901103674081298</c:v>
                </c:pt>
                <c:pt idx="2">
                  <c:v>5.2624467919022671</c:v>
                </c:pt>
                <c:pt idx="3">
                  <c:v>5.4006997595567929</c:v>
                </c:pt>
                <c:pt idx="4">
                  <c:v>5.4006997595567929</c:v>
                </c:pt>
                <c:pt idx="5">
                  <c:v>5.7479813126271537</c:v>
                </c:pt>
                <c:pt idx="6">
                  <c:v>5.4246983893074718</c:v>
                </c:pt>
                <c:pt idx="7">
                  <c:v>5.453464567925236</c:v>
                </c:pt>
                <c:pt idx="8">
                  <c:v>4.2614194535972443</c:v>
                </c:pt>
                <c:pt idx="9">
                  <c:v>4.9457416345462777</c:v>
                </c:pt>
                <c:pt idx="10">
                  <c:v>5.0778289896022688</c:v>
                </c:pt>
                <c:pt idx="11">
                  <c:v>5.1674642345158617</c:v>
                </c:pt>
                <c:pt idx="12">
                  <c:v>5.4288162056951883</c:v>
                </c:pt>
                <c:pt idx="13">
                  <c:v>4.9278497163858095</c:v>
                </c:pt>
                <c:pt idx="14">
                  <c:v>4.9563337129665594</c:v>
                </c:pt>
                <c:pt idx="15">
                  <c:v>5.2017112283470635</c:v>
                </c:pt>
                <c:pt idx="16">
                  <c:v>4.7884500965282797</c:v>
                </c:pt>
                <c:pt idx="17">
                  <c:v>5.2297124759744849</c:v>
                </c:pt>
                <c:pt idx="18">
                  <c:v>5.2297124759744849</c:v>
                </c:pt>
                <c:pt idx="19">
                  <c:v>5.6127853757399286</c:v>
                </c:pt>
                <c:pt idx="20">
                  <c:v>5.1520950698706569</c:v>
                </c:pt>
                <c:pt idx="22">
                  <c:v>5.8273497440842776</c:v>
                </c:pt>
                <c:pt idx="23">
                  <c:v>5.4441379683496685</c:v>
                </c:pt>
                <c:pt idx="24">
                  <c:v>4.8903815636880799</c:v>
                </c:pt>
                <c:pt idx="25">
                  <c:v>4.8903815636880799</c:v>
                </c:pt>
                <c:pt idx="26">
                  <c:v>5.1449659084649548</c:v>
                </c:pt>
                <c:pt idx="27">
                  <c:v>5.2384601195241336</c:v>
                </c:pt>
                <c:pt idx="28">
                  <c:v>4.8369199782126095</c:v>
                </c:pt>
                <c:pt idx="29">
                  <c:v>5.3214486496803008</c:v>
                </c:pt>
                <c:pt idx="30">
                  <c:v>4.6081850470585799</c:v>
                </c:pt>
                <c:pt idx="31">
                  <c:v>5.1346818225640849</c:v>
                </c:pt>
                <c:pt idx="32">
                  <c:v>4.4978336105273868</c:v>
                </c:pt>
                <c:pt idx="33">
                  <c:v>5.1798827829859055</c:v>
                </c:pt>
                <c:pt idx="34">
                  <c:v>4.5434148608332734</c:v>
                </c:pt>
                <c:pt idx="35">
                  <c:v>4.5678109297296201</c:v>
                </c:pt>
                <c:pt idx="36">
                  <c:v>4.8227395252914462</c:v>
                </c:pt>
                <c:pt idx="37">
                  <c:v>4.3553371269780552</c:v>
                </c:pt>
                <c:pt idx="38">
                  <c:v>4.3553371269780552</c:v>
                </c:pt>
                <c:pt idx="39">
                  <c:v>5.212441107882869</c:v>
                </c:pt>
                <c:pt idx="40">
                  <c:v>6.0613726443749556</c:v>
                </c:pt>
                <c:pt idx="41">
                  <c:v>4.6033710383004625</c:v>
                </c:pt>
                <c:pt idx="42">
                  <c:v>4.897294557024396</c:v>
                </c:pt>
                <c:pt idx="43">
                  <c:v>5.2505055927876541</c:v>
                </c:pt>
                <c:pt idx="44">
                  <c:v>5.272388449697246</c:v>
                </c:pt>
                <c:pt idx="45">
                  <c:v>4.6768081709685196</c:v>
                </c:pt>
                <c:pt idx="46">
                  <c:v>4.6520791556460042</c:v>
                </c:pt>
                <c:pt idx="47">
                  <c:v>4.6520791556460042</c:v>
                </c:pt>
                <c:pt idx="48">
                  <c:v>5.1826768337275428</c:v>
                </c:pt>
                <c:pt idx="49">
                  <c:v>5.0680016109527601</c:v>
                </c:pt>
                <c:pt idx="50">
                  <c:v>5.0680016109527601</c:v>
                </c:pt>
                <c:pt idx="51">
                  <c:v>5.3332540243775135</c:v>
                </c:pt>
                <c:pt idx="52">
                  <c:v>4.8029405266513665</c:v>
                </c:pt>
                <c:pt idx="54">
                  <c:v>5.1272317504557403</c:v>
                </c:pt>
                <c:pt idx="55">
                  <c:v>5.0470755502634859</c:v>
                </c:pt>
                <c:pt idx="56">
                  <c:v>4.7505955320909496</c:v>
                </c:pt>
                <c:pt idx="57">
                  <c:v>4.9100065936109454</c:v>
                </c:pt>
                <c:pt idx="58">
                  <c:v>5.2351485019847965</c:v>
                </c:pt>
                <c:pt idx="59">
                  <c:v>4.971860552621993</c:v>
                </c:pt>
                <c:pt idx="60">
                  <c:v>5.4681151490789279</c:v>
                </c:pt>
                <c:pt idx="61">
                  <c:v>4.9766397442416741</c:v>
                </c:pt>
                <c:pt idx="62">
                  <c:v>5.3309558824146341</c:v>
                </c:pt>
                <c:pt idx="63">
                  <c:v>5.7812600417533977</c:v>
                </c:pt>
                <c:pt idx="64">
                  <c:v>5.4492054911893986</c:v>
                </c:pt>
                <c:pt idx="65">
                  <c:v>5.5009893945491619</c:v>
                </c:pt>
                <c:pt idx="66">
                  <c:v>4.9500525992051667</c:v>
                </c:pt>
                <c:pt idx="67">
                  <c:v>5.2522390358877091</c:v>
                </c:pt>
                <c:pt idx="68">
                  <c:v>4.8688616072624056</c:v>
                </c:pt>
                <c:pt idx="69">
                  <c:v>4.9976932027213126</c:v>
                </c:pt>
                <c:pt idx="70">
                  <c:v>4.6684350334457072</c:v>
                </c:pt>
                <c:pt idx="71">
                  <c:v>5.5938525241002761</c:v>
                </c:pt>
                <c:pt idx="72">
                  <c:v>4.8225723436803776</c:v>
                </c:pt>
                <c:pt idx="73">
                  <c:v>5.4719806290503783</c:v>
                </c:pt>
                <c:pt idx="74">
                  <c:v>5.4964655952654589</c:v>
                </c:pt>
                <c:pt idx="75">
                  <c:v>5.166139807067462</c:v>
                </c:pt>
                <c:pt idx="76">
                  <c:v>4.3516841245261544</c:v>
                </c:pt>
                <c:pt idx="77">
                  <c:v>5.0785241664301886</c:v>
                </c:pt>
                <c:pt idx="78">
                  <c:v>5.3994449420512103</c:v>
                </c:pt>
                <c:pt idx="79">
                  <c:v>4.7388216725180206</c:v>
                </c:pt>
                <c:pt idx="80">
                  <c:v>5.7499212876069778</c:v>
                </c:pt>
                <c:pt idx="81">
                  <c:v>5.7499212876069778</c:v>
                </c:pt>
                <c:pt idx="82">
                  <c:v>4.1967569911643681</c:v>
                </c:pt>
                <c:pt idx="83">
                  <c:v>5.5679636569504263</c:v>
                </c:pt>
                <c:pt idx="84">
                  <c:v>5.2816942277594237</c:v>
                </c:pt>
                <c:pt idx="85">
                  <c:v>5.573308534475764</c:v>
                </c:pt>
                <c:pt idx="86">
                  <c:v>4.1926872744930668</c:v>
                </c:pt>
                <c:pt idx="87">
                  <c:v>4.9087765708876692</c:v>
                </c:pt>
                <c:pt idx="88">
                  <c:v>5.6236009195505456</c:v>
                </c:pt>
                <c:pt idx="89">
                  <c:v>5.3841128088858534</c:v>
                </c:pt>
                <c:pt idx="90">
                  <c:v>4.8061118735755839</c:v>
                </c:pt>
                <c:pt idx="91">
                  <c:v>5.4813182573923136</c:v>
                </c:pt>
                <c:pt idx="92">
                  <c:v>4.8156258430908938</c:v>
                </c:pt>
                <c:pt idx="93">
                  <c:v>4.9830846609963775</c:v>
                </c:pt>
                <c:pt idx="94">
                  <c:v>5.0740156410220774</c:v>
                </c:pt>
                <c:pt idx="95">
                  <c:v>5.5669625048765941</c:v>
                </c:pt>
                <c:pt idx="96">
                  <c:v>5.7085123834635869</c:v>
                </c:pt>
                <c:pt idx="97">
                  <c:v>4.9250990867969078</c:v>
                </c:pt>
                <c:pt idx="98">
                  <c:v>5.2198725862251329</c:v>
                </c:pt>
                <c:pt idx="99">
                  <c:v>5.1002786887903149</c:v>
                </c:pt>
                <c:pt idx="100">
                  <c:v>5.129325307416968</c:v>
                </c:pt>
                <c:pt idx="101">
                  <c:v>5.1180026426579888</c:v>
                </c:pt>
                <c:pt idx="102">
                  <c:v>4.808254249705822</c:v>
                </c:pt>
                <c:pt idx="103">
                  <c:v>4.8646704074010954</c:v>
                </c:pt>
                <c:pt idx="105">
                  <c:v>5.3104687844378642</c:v>
                </c:pt>
                <c:pt idx="106">
                  <c:v>4.8786968981570231</c:v>
                </c:pt>
                <c:pt idx="107">
                  <c:v>4.2859445912701437</c:v>
                </c:pt>
                <c:pt idx="108">
                  <c:v>5.2396419098088511</c:v>
                </c:pt>
                <c:pt idx="109">
                  <c:v>5.4136898158420061</c:v>
                </c:pt>
                <c:pt idx="110">
                  <c:v>5.2606822950870669</c:v>
                </c:pt>
                <c:pt idx="111">
                  <c:v>4.900465699928553</c:v>
                </c:pt>
                <c:pt idx="112">
                  <c:v>5.1166153953094762</c:v>
                </c:pt>
                <c:pt idx="113">
                  <c:v>4.6117757373721933</c:v>
                </c:pt>
                <c:pt idx="114">
                  <c:v>5.1766386974447993</c:v>
                </c:pt>
                <c:pt idx="115">
                  <c:v>5.1455701988697182</c:v>
                </c:pt>
                <c:pt idx="116">
                  <c:v>4.6270253876887706</c:v>
                </c:pt>
                <c:pt idx="117">
                  <c:v>5.0059196173339977</c:v>
                </c:pt>
                <c:pt idx="118">
                  <c:v>4.8856277614973624</c:v>
                </c:pt>
                <c:pt idx="119">
                  <c:v>5.1520233322548208</c:v>
                </c:pt>
                <c:pt idx="120">
                  <c:v>5.7862376104635258</c:v>
                </c:pt>
                <c:pt idx="121">
                  <c:v>5.6273648563881595</c:v>
                </c:pt>
                <c:pt idx="122">
                  <c:v>5.4087771914495226</c:v>
                </c:pt>
                <c:pt idx="123">
                  <c:v>5.2965594864102528</c:v>
                </c:pt>
                <c:pt idx="124">
                  <c:v>5.3557399232141822</c:v>
                </c:pt>
                <c:pt idx="125">
                  <c:v>4.5175666601126601</c:v>
                </c:pt>
                <c:pt idx="126">
                  <c:v>4.6722712005554774</c:v>
                </c:pt>
                <c:pt idx="127">
                  <c:v>5.0490904312129326</c:v>
                </c:pt>
                <c:pt idx="128">
                  <c:v>5.0557551161765621</c:v>
                </c:pt>
                <c:pt idx="129">
                  <c:v>5.1565519686279524</c:v>
                </c:pt>
                <c:pt idx="130">
                  <c:v>4.6510682602497715</c:v>
                </c:pt>
                <c:pt idx="131">
                  <c:v>5.0693722966383241</c:v>
                </c:pt>
                <c:pt idx="132">
                  <c:v>4.6022981400619667</c:v>
                </c:pt>
                <c:pt idx="133">
                  <c:v>4.6022981400619667</c:v>
                </c:pt>
                <c:pt idx="134">
                  <c:v>5.1951067815496454</c:v>
                </c:pt>
                <c:pt idx="135">
                  <c:v>5.2972499937292046</c:v>
                </c:pt>
                <c:pt idx="136">
                  <c:v>5.1041165659783605</c:v>
                </c:pt>
                <c:pt idx="137">
                  <c:v>5.1041165659783605</c:v>
                </c:pt>
                <c:pt idx="138">
                  <c:v>4.6866964040815597</c:v>
                </c:pt>
                <c:pt idx="139">
                  <c:v>5.1812396875611606</c:v>
                </c:pt>
                <c:pt idx="140">
                  <c:v>5.3725353338152599</c:v>
                </c:pt>
                <c:pt idx="141">
                  <c:v>5.0228552741683101</c:v>
                </c:pt>
                <c:pt idx="142">
                  <c:v>5.7858572043962271</c:v>
                </c:pt>
                <c:pt idx="143">
                  <c:v>5.1012104361594526</c:v>
                </c:pt>
                <c:pt idx="144">
                  <c:v>4.6019953030581835</c:v>
                </c:pt>
                <c:pt idx="145">
                  <c:v>5.1141901394860678</c:v>
                </c:pt>
                <c:pt idx="146">
                  <c:v>4.7441421576006872</c:v>
                </c:pt>
                <c:pt idx="147">
                  <c:v>5.3896353058505673</c:v>
                </c:pt>
                <c:pt idx="148">
                  <c:v>5.6302740709866033</c:v>
                </c:pt>
                <c:pt idx="149">
                  <c:v>4.1527408361475953</c:v>
                </c:pt>
                <c:pt idx="150">
                  <c:v>4.9584530970390714</c:v>
                </c:pt>
                <c:pt idx="151">
                  <c:v>5.3469640580381634</c:v>
                </c:pt>
                <c:pt idx="152">
                  <c:v>5.2784897661277093</c:v>
                </c:pt>
                <c:pt idx="153">
                  <c:v>5.2693004035446087</c:v>
                </c:pt>
                <c:pt idx="154">
                  <c:v>4.4864479399285768</c:v>
                </c:pt>
                <c:pt idx="155">
                  <c:v>4.7687531642294632</c:v>
                </c:pt>
                <c:pt idx="156">
                  <c:v>5.0963189072385591</c:v>
                </c:pt>
                <c:pt idx="157">
                  <c:v>4.4828665412619833</c:v>
                </c:pt>
                <c:pt idx="158">
                  <c:v>4.6685931352784618</c:v>
                </c:pt>
                <c:pt idx="159">
                  <c:v>5.3379273416092454</c:v>
                </c:pt>
                <c:pt idx="160">
                  <c:v>5.4012164623094048</c:v>
                </c:pt>
                <c:pt idx="161">
                  <c:v>5.0430123640121796</c:v>
                </c:pt>
                <c:pt idx="162">
                  <c:v>4.797583862430792</c:v>
                </c:pt>
                <c:pt idx="163">
                  <c:v>5.0547137401074114</c:v>
                </c:pt>
                <c:pt idx="164">
                  <c:v>5.0791865983169062</c:v>
                </c:pt>
                <c:pt idx="165">
                  <c:v>5.662527251554617</c:v>
                </c:pt>
                <c:pt idx="166">
                  <c:v>5.1873448135560967</c:v>
                </c:pt>
                <c:pt idx="167">
                  <c:v>5.6316614970613958</c:v>
                </c:pt>
                <c:pt idx="168">
                  <c:v>4.9849409089593628</c:v>
                </c:pt>
                <c:pt idx="170">
                  <c:v>4.8217932760978384</c:v>
                </c:pt>
                <c:pt idx="171">
                  <c:v>5.7004524227335427</c:v>
                </c:pt>
                <c:pt idx="172">
                  <c:v>4.8053315310621674</c:v>
                </c:pt>
                <c:pt idx="173">
                  <c:v>4.8325660248925066</c:v>
                </c:pt>
                <c:pt idx="174">
                  <c:v>4.8325660248925066</c:v>
                </c:pt>
                <c:pt idx="175">
                  <c:v>4.9894684578748532</c:v>
                </c:pt>
                <c:pt idx="176">
                  <c:v>5.4941468435444794</c:v>
                </c:pt>
                <c:pt idx="177">
                  <c:v>4.9602020016105026</c:v>
                </c:pt>
                <c:pt idx="178">
                  <c:v>4.1188700594652436</c:v>
                </c:pt>
                <c:pt idx="179">
                  <c:v>4.8131052343716254</c:v>
                </c:pt>
                <c:pt idx="180">
                  <c:v>5.4375856971746801</c:v>
                </c:pt>
                <c:pt idx="181">
                  <c:v>4.2105158664352196</c:v>
                </c:pt>
                <c:pt idx="182">
                  <c:v>4.8619979727382958</c:v>
                </c:pt>
                <c:pt idx="183">
                  <c:v>5.2555909160752927</c:v>
                </c:pt>
                <c:pt idx="184">
                  <c:v>4.8271021827307985</c:v>
                </c:pt>
                <c:pt idx="185">
                  <c:v>5.1096626320265033</c:v>
                </c:pt>
                <c:pt idx="186">
                  <c:v>5.1627879695165797</c:v>
                </c:pt>
                <c:pt idx="187">
                  <c:v>4.6604059078106177</c:v>
                </c:pt>
                <c:pt idx="188">
                  <c:v>4.9158051566671839</c:v>
                </c:pt>
                <c:pt idx="189">
                  <c:v>4.8071397057737872</c:v>
                </c:pt>
                <c:pt idx="190">
                  <c:v>4.9070346537103884</c:v>
                </c:pt>
                <c:pt idx="191">
                  <c:v>5.0275226206065868</c:v>
                </c:pt>
                <c:pt idx="192">
                  <c:v>5.0720799916428891</c:v>
                </c:pt>
                <c:pt idx="193">
                  <c:v>5.3817071404543926</c:v>
                </c:pt>
                <c:pt idx="194">
                  <c:v>5.1491532371386146</c:v>
                </c:pt>
                <c:pt idx="195">
                  <c:v>4.0282218275222972</c:v>
                </c:pt>
                <c:pt idx="196">
                  <c:v>4.9813739423133239</c:v>
                </c:pt>
                <c:pt idx="197">
                  <c:v>5.1052904026873724</c:v>
                </c:pt>
                <c:pt idx="198">
                  <c:v>5.061764148113423</c:v>
                </c:pt>
                <c:pt idx="199">
                  <c:v>4.7723085959397027</c:v>
                </c:pt>
                <c:pt idx="200">
                  <c:v>5.0127703786343965</c:v>
                </c:pt>
                <c:pt idx="201">
                  <c:v>4.6277851608861198</c:v>
                </c:pt>
                <c:pt idx="202">
                  <c:v>4.4798488562329304</c:v>
                </c:pt>
                <c:pt idx="203">
                  <c:v>4.6965799165232154</c:v>
                </c:pt>
                <c:pt idx="204">
                  <c:v>4.3345197211897872</c:v>
                </c:pt>
                <c:pt idx="205">
                  <c:v>5.3926328839541506</c:v>
                </c:pt>
                <c:pt idx="206">
                  <c:v>5.0851267754358949</c:v>
                </c:pt>
                <c:pt idx="207">
                  <c:v>4.7659433516163325</c:v>
                </c:pt>
                <c:pt idx="208">
                  <c:v>5.2794853049529591</c:v>
                </c:pt>
                <c:pt idx="209">
                  <c:v>5.3882581519740151</c:v>
                </c:pt>
                <c:pt idx="210">
                  <c:v>5.5134868284700413</c:v>
                </c:pt>
                <c:pt idx="211">
                  <c:v>4.5686975593134864</c:v>
                </c:pt>
                <c:pt idx="212">
                  <c:v>4.374243222541919</c:v>
                </c:pt>
                <c:pt idx="213">
                  <c:v>4.8622030636661062</c:v>
                </c:pt>
                <c:pt idx="214">
                  <c:v>5.3546893487164837</c:v>
                </c:pt>
                <c:pt idx="215">
                  <c:v>4.7090256413480809</c:v>
                </c:pt>
                <c:pt idx="216">
                  <c:v>4.8576787994688964</c:v>
                </c:pt>
                <c:pt idx="217">
                  <c:v>5.4055062631673199</c:v>
                </c:pt>
                <c:pt idx="218">
                  <c:v>5.2499360813350879</c:v>
                </c:pt>
                <c:pt idx="219">
                  <c:v>5.2560514052361782</c:v>
                </c:pt>
                <c:pt idx="220">
                  <c:v>6.0346240226849135</c:v>
                </c:pt>
                <c:pt idx="221">
                  <c:v>5.0086126855127144</c:v>
                </c:pt>
                <c:pt idx="222">
                  <c:v>4.8336251239738628</c:v>
                </c:pt>
                <c:pt idx="223">
                  <c:v>4.8336251239738628</c:v>
                </c:pt>
                <c:pt idx="224">
                  <c:v>4.6343173029524412</c:v>
                </c:pt>
                <c:pt idx="225">
                  <c:v>4.8537582362612488</c:v>
                </c:pt>
                <c:pt idx="226">
                  <c:v>5.2933221233309933</c:v>
                </c:pt>
                <c:pt idx="227">
                  <c:v>4.9255324023661595</c:v>
                </c:pt>
                <c:pt idx="228">
                  <c:v>4.2312676691430635</c:v>
                </c:pt>
                <c:pt idx="229">
                  <c:v>4.8148383548943903</c:v>
                </c:pt>
                <c:pt idx="230">
                  <c:v>5.4280930548518072</c:v>
                </c:pt>
                <c:pt idx="231">
                  <c:v>4.7135334566512395</c:v>
                </c:pt>
                <c:pt idx="232">
                  <c:v>5.4642366181693145</c:v>
                </c:pt>
                <c:pt idx="233">
                  <c:v>4.7950305133944386</c:v>
                </c:pt>
                <c:pt idx="234">
                  <c:v>4.1550603002311419</c:v>
                </c:pt>
                <c:pt idx="235">
                  <c:v>5.133179721296333</c:v>
                </c:pt>
                <c:pt idx="236">
                  <c:v>5.344565696800494</c:v>
                </c:pt>
                <c:pt idx="237">
                  <c:v>4.7228660478947351</c:v>
                </c:pt>
                <c:pt idx="238">
                  <c:v>4.6456887518363565</c:v>
                </c:pt>
                <c:pt idx="239">
                  <c:v>4.8317276580400081</c:v>
                </c:pt>
                <c:pt idx="240">
                  <c:v>5.3068660806733918</c:v>
                </c:pt>
                <c:pt idx="241">
                  <c:v>5.1784929475131491</c:v>
                </c:pt>
                <c:pt idx="242">
                  <c:v>5.0952430064468004</c:v>
                </c:pt>
                <c:pt idx="243">
                  <c:v>4.9606420861124185</c:v>
                </c:pt>
                <c:pt idx="244">
                  <c:v>4.7454951221819357</c:v>
                </c:pt>
                <c:pt idx="245">
                  <c:v>4.7141703589726482</c:v>
                </c:pt>
                <c:pt idx="246">
                  <c:v>4.7141703589726482</c:v>
                </c:pt>
                <c:pt idx="247">
                  <c:v>5.0800108888323026</c:v>
                </c:pt>
                <c:pt idx="248">
                  <c:v>5.0602280616069493</c:v>
                </c:pt>
                <c:pt idx="249">
                  <c:v>5.1620580215222871</c:v>
                </c:pt>
                <c:pt idx="250">
                  <c:v>5.1969968012280638</c:v>
                </c:pt>
                <c:pt idx="251">
                  <c:v>4.0321546997970801</c:v>
                </c:pt>
                <c:pt idx="252">
                  <c:v>5.3811602053765801</c:v>
                </c:pt>
                <c:pt idx="253">
                  <c:v>4.435003883068938</c:v>
                </c:pt>
                <c:pt idx="254">
                  <c:v>4.8492157852398092</c:v>
                </c:pt>
                <c:pt idx="255">
                  <c:v>4.9401818767942869</c:v>
                </c:pt>
                <c:pt idx="256">
                  <c:v>5.5022364003069031</c:v>
                </c:pt>
                <c:pt idx="257">
                  <c:v>5.5022364003069031</c:v>
                </c:pt>
                <c:pt idx="259">
                  <c:v>5.036678551710601</c:v>
                </c:pt>
                <c:pt idx="260">
                  <c:v>5.0629090213947796</c:v>
                </c:pt>
                <c:pt idx="261">
                  <c:v>4.0709901301872851</c:v>
                </c:pt>
                <c:pt idx="262">
                  <c:v>5.2670643226065614</c:v>
                </c:pt>
                <c:pt idx="263">
                  <c:v>4.8177485626805989</c:v>
                </c:pt>
                <c:pt idx="264">
                  <c:v>5.0808654717081003</c:v>
                </c:pt>
                <c:pt idx="265">
                  <c:v>4.7037289151288988</c:v>
                </c:pt>
                <c:pt idx="266">
                  <c:v>5.2866006604783742</c:v>
                </c:pt>
                <c:pt idx="267">
                  <c:v>4.2220671537887684</c:v>
                </c:pt>
                <c:pt idx="268">
                  <c:v>5.1372390570727031</c:v>
                </c:pt>
                <c:pt idx="269">
                  <c:v>5.1372390570727031</c:v>
                </c:pt>
                <c:pt idx="270">
                  <c:v>5.5120307081019684</c:v>
                </c:pt>
                <c:pt idx="271">
                  <c:v>5.0491450298589475</c:v>
                </c:pt>
                <c:pt idx="272">
                  <c:v>5.5521703536960265</c:v>
                </c:pt>
                <c:pt idx="273">
                  <c:v>4.671540163189035</c:v>
                </c:pt>
                <c:pt idx="274">
                  <c:v>5.4610474491253544</c:v>
                </c:pt>
                <c:pt idx="275">
                  <c:v>4.5179654527509667</c:v>
                </c:pt>
                <c:pt idx="276">
                  <c:v>4.8881481774906614</c:v>
                </c:pt>
                <c:pt idx="277">
                  <c:v>5.3150613082849176</c:v>
                </c:pt>
                <c:pt idx="278">
                  <c:v>4.1507745975130037</c:v>
                </c:pt>
                <c:pt idx="279">
                  <c:v>5.3588536058219285</c:v>
                </c:pt>
                <c:pt idx="280">
                  <c:v>4.6049379092269662</c:v>
                </c:pt>
                <c:pt idx="281">
                  <c:v>4.8562912239016685</c:v>
                </c:pt>
                <c:pt idx="282">
                  <c:v>4.9709560335945024</c:v>
                </c:pt>
                <c:pt idx="283">
                  <c:v>5.1808418089854094</c:v>
                </c:pt>
                <c:pt idx="284">
                  <c:v>4.9487398284815773</c:v>
                </c:pt>
                <c:pt idx="285">
                  <c:v>4.8946565969090603</c:v>
                </c:pt>
                <c:pt idx="286">
                  <c:v>5.6689755503665031</c:v>
                </c:pt>
                <c:pt idx="287">
                  <c:v>4.7673408542503166</c:v>
                </c:pt>
                <c:pt idx="288">
                  <c:v>4.6150140787572376</c:v>
                </c:pt>
                <c:pt idx="289">
                  <c:v>5.6728232675512436</c:v>
                </c:pt>
                <c:pt idx="290">
                  <c:v>5.1147067756108173</c:v>
                </c:pt>
                <c:pt idx="291">
                  <c:v>4.4266540599824022</c:v>
                </c:pt>
                <c:pt idx="292">
                  <c:v>4.7992886157113688</c:v>
                </c:pt>
                <c:pt idx="293">
                  <c:v>4.5806377434741288</c:v>
                </c:pt>
                <c:pt idx="294">
                  <c:v>4.6600839741621565</c:v>
                </c:pt>
                <c:pt idx="295">
                  <c:v>5.5556913415561437</c:v>
                </c:pt>
                <c:pt idx="296">
                  <c:v>4.8628489472561478</c:v>
                </c:pt>
                <c:pt idx="297">
                  <c:v>4.8628489472561478</c:v>
                </c:pt>
                <c:pt idx="298">
                  <c:v>5.0482627424652655</c:v>
                </c:pt>
                <c:pt idx="299">
                  <c:v>5.3171899614383253</c:v>
                </c:pt>
                <c:pt idx="300">
                  <c:v>4.8833092977844181</c:v>
                </c:pt>
                <c:pt idx="301">
                  <c:v>4.8324880695845565</c:v>
                </c:pt>
                <c:pt idx="302">
                  <c:v>4.9583979453041014</c:v>
                </c:pt>
                <c:pt idx="303">
                  <c:v>4.7922676614453978</c:v>
                </c:pt>
                <c:pt idx="305">
                  <c:v>5.1488159922419161</c:v>
                </c:pt>
                <c:pt idx="306">
                  <c:v>4.7937917133533219</c:v>
                </c:pt>
                <c:pt idx="307">
                  <c:v>4.3234852580956398</c:v>
                </c:pt>
                <c:pt idx="308">
                  <c:v>4.768312750665233</c:v>
                </c:pt>
                <c:pt idx="309">
                  <c:v>4.8336613440235476</c:v>
                </c:pt>
                <c:pt idx="310">
                  <c:v>4.8123575348107206</c:v>
                </c:pt>
                <c:pt idx="311">
                  <c:v>5.4132126738333977</c:v>
                </c:pt>
                <c:pt idx="312">
                  <c:v>4.4384172314101491</c:v>
                </c:pt>
                <c:pt idx="313">
                  <c:v>4.8929203173776816</c:v>
                </c:pt>
                <c:pt idx="314">
                  <c:v>4.8929203173776816</c:v>
                </c:pt>
                <c:pt idx="315">
                  <c:v>5.1747331977014657</c:v>
                </c:pt>
                <c:pt idx="316">
                  <c:v>4.9734282177028062</c:v>
                </c:pt>
                <c:pt idx="317">
                  <c:v>5.4694394671081827</c:v>
                </c:pt>
                <c:pt idx="318">
                  <c:v>4.9729548297531565</c:v>
                </c:pt>
                <c:pt idx="319">
                  <c:v>6.0793929398197335</c:v>
                </c:pt>
                <c:pt idx="320">
                  <c:v>4.612981504154309</c:v>
                </c:pt>
                <c:pt idx="321">
                  <c:v>4.612981504154309</c:v>
                </c:pt>
                <c:pt idx="322">
                  <c:v>5.9781151612713561</c:v>
                </c:pt>
                <c:pt idx="323">
                  <c:v>5.2578769334998938</c:v>
                </c:pt>
                <c:pt idx="325">
                  <c:v>5.0569905097065417</c:v>
                </c:pt>
                <c:pt idx="326">
                  <c:v>5.1471152426146585</c:v>
                </c:pt>
                <c:pt idx="327">
                  <c:v>4.2631531036947079</c:v>
                </c:pt>
                <c:pt idx="328">
                  <c:v>5.5369174610497494</c:v>
                </c:pt>
                <c:pt idx="329">
                  <c:v>4.2980039709600097</c:v>
                </c:pt>
                <c:pt idx="330">
                  <c:v>4.3257073246365563</c:v>
                </c:pt>
                <c:pt idx="331">
                  <c:v>5.0969278932949154</c:v>
                </c:pt>
                <c:pt idx="332">
                  <c:v>4.6394789959391183</c:v>
                </c:pt>
                <c:pt idx="333">
                  <c:v>5.2711342148085079</c:v>
                </c:pt>
                <c:pt idx="334">
                  <c:v>5.0599107420093015</c:v>
                </c:pt>
                <c:pt idx="335">
                  <c:v>5.3279368853776869</c:v>
                </c:pt>
                <c:pt idx="336">
                  <c:v>4.8488153887139873</c:v>
                </c:pt>
                <c:pt idx="337">
                  <c:v>4.8462496795565713</c:v>
                </c:pt>
                <c:pt idx="338">
                  <c:v>4.8462496795565713</c:v>
                </c:pt>
                <c:pt idx="339">
                  <c:v>4.9507139360655668</c:v>
                </c:pt>
                <c:pt idx="340">
                  <c:v>5.1274743307852653</c:v>
                </c:pt>
                <c:pt idx="341">
                  <c:v>4.9339504344429326</c:v>
                </c:pt>
                <c:pt idx="342">
                  <c:v>4.4862268860481755</c:v>
                </c:pt>
                <c:pt idx="343">
                  <c:v>4.2668696364966481</c:v>
                </c:pt>
                <c:pt idx="344">
                  <c:v>5.360763487672024</c:v>
                </c:pt>
                <c:pt idx="345">
                  <c:v>4.4720764173146677</c:v>
                </c:pt>
                <c:pt idx="346">
                  <c:v>4.983875033919313</c:v>
                </c:pt>
                <c:pt idx="347">
                  <c:v>4.6887397392818837</c:v>
                </c:pt>
                <c:pt idx="348">
                  <c:v>5.1471647704935828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20-D949-95AA-9906CAD1B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0438464"/>
        <c:axId val="1571734848"/>
      </c:scatterChart>
      <c:valAx>
        <c:axId val="157043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571734848"/>
        <c:crosses val="autoZero"/>
        <c:crossBetween val="midCat"/>
      </c:valAx>
      <c:valAx>
        <c:axId val="157173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570438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032380541473409"/>
                  <c:y val="2.0567434804594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L"/>
                </a:p>
              </c:txPr>
            </c:trendlineLbl>
          </c:trendline>
          <c:xVal>
            <c:numRef>
              <c:f>Sheet1!$B$2:$B$6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75</c:v>
                </c:pt>
                <c:pt idx="4">
                  <c:v>95</c:v>
                </c:pt>
              </c:numCache>
            </c:numRef>
          </c:xVal>
          <c:yVal>
            <c:numRef>
              <c:f>Sheet1!$C$2:$C$6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3">
                  <c:v>6</c:v>
                </c:pt>
                <c:pt idx="4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C4-F644-81ED-953553E91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836224"/>
        <c:axId val="1598148096"/>
      </c:scatterChart>
      <c:valAx>
        <c:axId val="159883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598148096"/>
        <c:crosses val="autoZero"/>
        <c:crossBetween val="midCat"/>
      </c:valAx>
      <c:valAx>
        <c:axId val="159814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59883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Chart Title</cx:v>
        </cx:txData>
      </cx:tx>
    </cx:title>
    <cx:plotArea>
      <cx:plotAreaRegion>
        <cx:series layoutId="clusteredColumn" uniqueId="{542B00B8-20EB-054A-883B-3FB47E388458}">
          <cx:tx>
            <cx:txData>
              <cx:f>_xlchart.v1.0</cx:f>
              <cx:v>NEM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6DE39CDC-442A-0641-AD5F-CF4180F56110}">
          <cx:tx>
            <cx:txData>
              <cx:f>_xlchart.v1.2</cx:f>
              <cx:v>PROMEDIO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microsoft.com/office/2014/relationships/chartEx" Target="../charts/chartEx2.xml"/><Relationship Id="rId4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387350</xdr:colOff>
      <xdr:row>23</xdr:row>
      <xdr:rowOff>38100</xdr:rowOff>
    </xdr:from>
    <xdr:to>
      <xdr:col>16</xdr:col>
      <xdr:colOff>311150</xdr:colOff>
      <xdr:row>36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F6B459-2CEE-CFDF-35FB-AB5E07B4C8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412750</xdr:colOff>
      <xdr:row>8</xdr:row>
      <xdr:rowOff>127000</xdr:rowOff>
    </xdr:from>
    <xdr:to>
      <xdr:col>19</xdr:col>
      <xdr:colOff>374650</xdr:colOff>
      <xdr:row>22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3C364E-04EF-78EB-69CD-F36E32FA61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577850</xdr:colOff>
      <xdr:row>6</xdr:row>
      <xdr:rowOff>50800</xdr:rowOff>
    </xdr:from>
    <xdr:to>
      <xdr:col>23</xdr:col>
      <xdr:colOff>196850</xdr:colOff>
      <xdr:row>19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C9BE8F-F795-09E0-0CF5-15C9BD802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69850</xdr:colOff>
      <xdr:row>39</xdr:row>
      <xdr:rowOff>165100</xdr:rowOff>
    </xdr:from>
    <xdr:to>
      <xdr:col>13</xdr:col>
      <xdr:colOff>819150</xdr:colOff>
      <xdr:row>53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251BEE20-A476-4123-0D45-AA034C1B7A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99350" y="80899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692150</xdr:colOff>
      <xdr:row>38</xdr:row>
      <xdr:rowOff>127000</xdr:rowOff>
    </xdr:from>
    <xdr:to>
      <xdr:col>20</xdr:col>
      <xdr:colOff>425450</xdr:colOff>
      <xdr:row>52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80EBABE1-AA6F-CF72-F7D1-BDFACEB1E4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47750" y="78486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508000</xdr:colOff>
      <xdr:row>56</xdr:row>
      <xdr:rowOff>0</xdr:rowOff>
    </xdr:from>
    <xdr:to>
      <xdr:col>13</xdr:col>
      <xdr:colOff>431800</xdr:colOff>
      <xdr:row>69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F33D4E2-B785-6D70-75F8-73E96C3FB5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774700</xdr:colOff>
      <xdr:row>10</xdr:row>
      <xdr:rowOff>50800</xdr:rowOff>
    </xdr:from>
    <xdr:to>
      <xdr:col>9</xdr:col>
      <xdr:colOff>457200</xdr:colOff>
      <xdr:row>23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88A1E5-F98D-8A59-1B58-2F053B1FA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Saavedra Morales" refreshedDate="46153.759887731481" createdVersion="8" refreshedVersion="8" minRefreshableVersion="3" recordCount="351" xr:uid="{2F07ADF0-48AC-0D47-BF0C-A561A49D173C}">
  <cacheSource type="worksheet">
    <worksheetSource ref="B1:D1048576" sheet="Hoja1"/>
  </cacheSource>
  <cacheFields count="3">
    <cacheField name="EDAD" numFmtId="0">
      <sharedItems containsString="0" containsBlank="1" containsNumber="1" containsInteger="1" minValue="17" maxValue="45" count="16">
        <n v="19"/>
        <n v="18"/>
        <m/>
        <n v="20"/>
        <n v="21"/>
        <n v="23"/>
        <n v="17"/>
        <n v="29"/>
        <n v="24"/>
        <n v="32"/>
        <n v="36"/>
        <n v="25"/>
        <n v="26"/>
        <n v="27"/>
        <n v="22"/>
        <n v="45"/>
      </sharedItems>
    </cacheField>
    <cacheField name="SEXO" numFmtId="0">
      <sharedItems containsBlank="1" count="3">
        <s v="Mujer"/>
        <s v="Hombre"/>
        <m/>
      </sharedItems>
    </cacheField>
    <cacheField name="COD_DEPE" numFmtId="0">
      <sharedItems containsString="0" containsBlank="1" containsNumber="1" containsInteger="1" minValue="1" maxValue="3" count="4">
        <n v="1"/>
        <n v="2"/>
        <n v="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1">
  <r>
    <x v="0"/>
    <x v="0"/>
    <x v="0"/>
  </r>
  <r>
    <x v="0"/>
    <x v="0"/>
    <x v="0"/>
  </r>
  <r>
    <x v="0"/>
    <x v="0"/>
    <x v="1"/>
  </r>
  <r>
    <x v="1"/>
    <x v="0"/>
    <x v="1"/>
  </r>
  <r>
    <x v="1"/>
    <x v="0"/>
    <x v="1"/>
  </r>
  <r>
    <x v="1"/>
    <x v="0"/>
    <x v="1"/>
  </r>
  <r>
    <x v="0"/>
    <x v="0"/>
    <x v="0"/>
  </r>
  <r>
    <x v="0"/>
    <x v="0"/>
    <x v="0"/>
  </r>
  <r>
    <x v="0"/>
    <x v="0"/>
    <x v="1"/>
  </r>
  <r>
    <x v="1"/>
    <x v="0"/>
    <x v="0"/>
  </r>
  <r>
    <x v="0"/>
    <x v="0"/>
    <x v="0"/>
  </r>
  <r>
    <x v="1"/>
    <x v="0"/>
    <x v="1"/>
  </r>
  <r>
    <x v="1"/>
    <x v="0"/>
    <x v="0"/>
  </r>
  <r>
    <x v="1"/>
    <x v="0"/>
    <x v="1"/>
  </r>
  <r>
    <x v="0"/>
    <x v="0"/>
    <x v="1"/>
  </r>
  <r>
    <x v="2"/>
    <x v="0"/>
    <x v="2"/>
  </r>
  <r>
    <x v="1"/>
    <x v="0"/>
    <x v="1"/>
  </r>
  <r>
    <x v="1"/>
    <x v="0"/>
    <x v="1"/>
  </r>
  <r>
    <x v="1"/>
    <x v="0"/>
    <x v="1"/>
  </r>
  <r>
    <x v="1"/>
    <x v="0"/>
    <x v="1"/>
  </r>
  <r>
    <x v="3"/>
    <x v="0"/>
    <x v="1"/>
  </r>
  <r>
    <x v="1"/>
    <x v="0"/>
    <x v="1"/>
  </r>
  <r>
    <x v="0"/>
    <x v="0"/>
    <x v="1"/>
  </r>
  <r>
    <x v="1"/>
    <x v="0"/>
    <x v="0"/>
  </r>
  <r>
    <x v="4"/>
    <x v="0"/>
    <x v="1"/>
  </r>
  <r>
    <x v="4"/>
    <x v="0"/>
    <x v="1"/>
  </r>
  <r>
    <x v="1"/>
    <x v="0"/>
    <x v="1"/>
  </r>
  <r>
    <x v="0"/>
    <x v="0"/>
    <x v="1"/>
  </r>
  <r>
    <x v="0"/>
    <x v="0"/>
    <x v="0"/>
  </r>
  <r>
    <x v="1"/>
    <x v="0"/>
    <x v="1"/>
  </r>
  <r>
    <x v="4"/>
    <x v="0"/>
    <x v="1"/>
  </r>
  <r>
    <x v="0"/>
    <x v="0"/>
    <x v="1"/>
  </r>
  <r>
    <x v="2"/>
    <x v="0"/>
    <x v="2"/>
  </r>
  <r>
    <x v="0"/>
    <x v="0"/>
    <x v="0"/>
  </r>
  <r>
    <x v="5"/>
    <x v="0"/>
    <x v="0"/>
  </r>
  <r>
    <x v="1"/>
    <x v="0"/>
    <x v="1"/>
  </r>
  <r>
    <x v="1"/>
    <x v="0"/>
    <x v="0"/>
  </r>
  <r>
    <x v="0"/>
    <x v="0"/>
    <x v="1"/>
  </r>
  <r>
    <x v="0"/>
    <x v="0"/>
    <x v="1"/>
  </r>
  <r>
    <x v="1"/>
    <x v="0"/>
    <x v="1"/>
  </r>
  <r>
    <x v="1"/>
    <x v="0"/>
    <x v="0"/>
  </r>
  <r>
    <x v="0"/>
    <x v="0"/>
    <x v="1"/>
  </r>
  <r>
    <x v="1"/>
    <x v="0"/>
    <x v="1"/>
  </r>
  <r>
    <x v="1"/>
    <x v="0"/>
    <x v="1"/>
  </r>
  <r>
    <x v="1"/>
    <x v="0"/>
    <x v="0"/>
  </r>
  <r>
    <x v="1"/>
    <x v="0"/>
    <x v="1"/>
  </r>
  <r>
    <x v="1"/>
    <x v="0"/>
    <x v="1"/>
  </r>
  <r>
    <x v="1"/>
    <x v="0"/>
    <x v="0"/>
  </r>
  <r>
    <x v="1"/>
    <x v="0"/>
    <x v="1"/>
  </r>
  <r>
    <x v="0"/>
    <x v="0"/>
    <x v="1"/>
  </r>
  <r>
    <x v="0"/>
    <x v="0"/>
    <x v="1"/>
  </r>
  <r>
    <x v="1"/>
    <x v="0"/>
    <x v="0"/>
  </r>
  <r>
    <x v="4"/>
    <x v="0"/>
    <x v="0"/>
  </r>
  <r>
    <x v="6"/>
    <x v="0"/>
    <x v="1"/>
  </r>
  <r>
    <x v="4"/>
    <x v="0"/>
    <x v="1"/>
  </r>
  <r>
    <x v="1"/>
    <x v="0"/>
    <x v="1"/>
  </r>
  <r>
    <x v="0"/>
    <x v="0"/>
    <x v="0"/>
  </r>
  <r>
    <x v="1"/>
    <x v="0"/>
    <x v="1"/>
  </r>
  <r>
    <x v="0"/>
    <x v="0"/>
    <x v="1"/>
  </r>
  <r>
    <x v="0"/>
    <x v="0"/>
    <x v="0"/>
  </r>
  <r>
    <x v="3"/>
    <x v="0"/>
    <x v="0"/>
  </r>
  <r>
    <x v="0"/>
    <x v="0"/>
    <x v="1"/>
  </r>
  <r>
    <x v="1"/>
    <x v="0"/>
    <x v="0"/>
  </r>
  <r>
    <x v="0"/>
    <x v="0"/>
    <x v="1"/>
  </r>
  <r>
    <x v="2"/>
    <x v="0"/>
    <x v="2"/>
  </r>
  <r>
    <x v="2"/>
    <x v="0"/>
    <x v="2"/>
  </r>
  <r>
    <x v="1"/>
    <x v="0"/>
    <x v="0"/>
  </r>
  <r>
    <x v="0"/>
    <x v="0"/>
    <x v="0"/>
  </r>
  <r>
    <x v="0"/>
    <x v="0"/>
    <x v="1"/>
  </r>
  <r>
    <x v="0"/>
    <x v="0"/>
    <x v="0"/>
  </r>
  <r>
    <x v="1"/>
    <x v="0"/>
    <x v="0"/>
  </r>
  <r>
    <x v="2"/>
    <x v="0"/>
    <x v="2"/>
  </r>
  <r>
    <x v="4"/>
    <x v="0"/>
    <x v="0"/>
  </r>
  <r>
    <x v="3"/>
    <x v="0"/>
    <x v="0"/>
  </r>
  <r>
    <x v="1"/>
    <x v="0"/>
    <x v="0"/>
  </r>
  <r>
    <x v="0"/>
    <x v="0"/>
    <x v="0"/>
  </r>
  <r>
    <x v="7"/>
    <x v="0"/>
    <x v="1"/>
  </r>
  <r>
    <x v="8"/>
    <x v="0"/>
    <x v="1"/>
  </r>
  <r>
    <x v="0"/>
    <x v="0"/>
    <x v="1"/>
  </r>
  <r>
    <x v="1"/>
    <x v="0"/>
    <x v="0"/>
  </r>
  <r>
    <x v="1"/>
    <x v="0"/>
    <x v="1"/>
  </r>
  <r>
    <x v="1"/>
    <x v="0"/>
    <x v="1"/>
  </r>
  <r>
    <x v="1"/>
    <x v="0"/>
    <x v="1"/>
  </r>
  <r>
    <x v="2"/>
    <x v="0"/>
    <x v="2"/>
  </r>
  <r>
    <x v="0"/>
    <x v="0"/>
    <x v="1"/>
  </r>
  <r>
    <x v="0"/>
    <x v="0"/>
    <x v="0"/>
  </r>
  <r>
    <x v="4"/>
    <x v="0"/>
    <x v="1"/>
  </r>
  <r>
    <x v="1"/>
    <x v="0"/>
    <x v="1"/>
  </r>
  <r>
    <x v="0"/>
    <x v="0"/>
    <x v="1"/>
  </r>
  <r>
    <x v="1"/>
    <x v="0"/>
    <x v="0"/>
  </r>
  <r>
    <x v="1"/>
    <x v="0"/>
    <x v="1"/>
  </r>
  <r>
    <x v="1"/>
    <x v="0"/>
    <x v="1"/>
  </r>
  <r>
    <x v="1"/>
    <x v="0"/>
    <x v="1"/>
  </r>
  <r>
    <x v="9"/>
    <x v="0"/>
    <x v="0"/>
  </r>
  <r>
    <x v="1"/>
    <x v="0"/>
    <x v="0"/>
  </r>
  <r>
    <x v="0"/>
    <x v="0"/>
    <x v="1"/>
  </r>
  <r>
    <x v="6"/>
    <x v="0"/>
    <x v="0"/>
  </r>
  <r>
    <x v="3"/>
    <x v="0"/>
    <x v="1"/>
  </r>
  <r>
    <x v="0"/>
    <x v="0"/>
    <x v="0"/>
  </r>
  <r>
    <x v="1"/>
    <x v="0"/>
    <x v="0"/>
  </r>
  <r>
    <x v="1"/>
    <x v="0"/>
    <x v="1"/>
  </r>
  <r>
    <x v="8"/>
    <x v="0"/>
    <x v="1"/>
  </r>
  <r>
    <x v="3"/>
    <x v="0"/>
    <x v="1"/>
  </r>
  <r>
    <x v="10"/>
    <x v="0"/>
    <x v="1"/>
  </r>
  <r>
    <x v="0"/>
    <x v="0"/>
    <x v="1"/>
  </r>
  <r>
    <x v="0"/>
    <x v="0"/>
    <x v="0"/>
  </r>
  <r>
    <x v="0"/>
    <x v="0"/>
    <x v="1"/>
  </r>
  <r>
    <x v="4"/>
    <x v="0"/>
    <x v="1"/>
  </r>
  <r>
    <x v="0"/>
    <x v="0"/>
    <x v="1"/>
  </r>
  <r>
    <x v="0"/>
    <x v="0"/>
    <x v="1"/>
  </r>
  <r>
    <x v="1"/>
    <x v="0"/>
    <x v="1"/>
  </r>
  <r>
    <x v="1"/>
    <x v="0"/>
    <x v="0"/>
  </r>
  <r>
    <x v="11"/>
    <x v="0"/>
    <x v="0"/>
  </r>
  <r>
    <x v="0"/>
    <x v="0"/>
    <x v="1"/>
  </r>
  <r>
    <x v="1"/>
    <x v="0"/>
    <x v="1"/>
  </r>
  <r>
    <x v="8"/>
    <x v="0"/>
    <x v="1"/>
  </r>
  <r>
    <x v="4"/>
    <x v="0"/>
    <x v="1"/>
  </r>
  <r>
    <x v="3"/>
    <x v="0"/>
    <x v="1"/>
  </r>
  <r>
    <x v="0"/>
    <x v="0"/>
    <x v="1"/>
  </r>
  <r>
    <x v="1"/>
    <x v="0"/>
    <x v="1"/>
  </r>
  <r>
    <x v="0"/>
    <x v="0"/>
    <x v="1"/>
  </r>
  <r>
    <x v="1"/>
    <x v="0"/>
    <x v="0"/>
  </r>
  <r>
    <x v="1"/>
    <x v="0"/>
    <x v="1"/>
  </r>
  <r>
    <x v="1"/>
    <x v="0"/>
    <x v="1"/>
  </r>
  <r>
    <x v="3"/>
    <x v="0"/>
    <x v="0"/>
  </r>
  <r>
    <x v="1"/>
    <x v="0"/>
    <x v="1"/>
  </r>
  <r>
    <x v="0"/>
    <x v="0"/>
    <x v="0"/>
  </r>
  <r>
    <x v="1"/>
    <x v="0"/>
    <x v="1"/>
  </r>
  <r>
    <x v="4"/>
    <x v="0"/>
    <x v="0"/>
  </r>
  <r>
    <x v="1"/>
    <x v="0"/>
    <x v="1"/>
  </r>
  <r>
    <x v="1"/>
    <x v="0"/>
    <x v="1"/>
  </r>
  <r>
    <x v="1"/>
    <x v="0"/>
    <x v="0"/>
  </r>
  <r>
    <x v="12"/>
    <x v="0"/>
    <x v="1"/>
  </r>
  <r>
    <x v="12"/>
    <x v="0"/>
    <x v="1"/>
  </r>
  <r>
    <x v="3"/>
    <x v="0"/>
    <x v="1"/>
  </r>
  <r>
    <x v="0"/>
    <x v="0"/>
    <x v="1"/>
  </r>
  <r>
    <x v="3"/>
    <x v="0"/>
    <x v="0"/>
  </r>
  <r>
    <x v="3"/>
    <x v="0"/>
    <x v="0"/>
  </r>
  <r>
    <x v="1"/>
    <x v="0"/>
    <x v="1"/>
  </r>
  <r>
    <x v="0"/>
    <x v="0"/>
    <x v="1"/>
  </r>
  <r>
    <x v="3"/>
    <x v="0"/>
    <x v="0"/>
  </r>
  <r>
    <x v="1"/>
    <x v="0"/>
    <x v="1"/>
  </r>
  <r>
    <x v="1"/>
    <x v="0"/>
    <x v="1"/>
  </r>
  <r>
    <x v="4"/>
    <x v="0"/>
    <x v="1"/>
  </r>
  <r>
    <x v="0"/>
    <x v="0"/>
    <x v="0"/>
  </r>
  <r>
    <x v="0"/>
    <x v="0"/>
    <x v="0"/>
  </r>
  <r>
    <x v="1"/>
    <x v="0"/>
    <x v="1"/>
  </r>
  <r>
    <x v="1"/>
    <x v="0"/>
    <x v="1"/>
  </r>
  <r>
    <x v="0"/>
    <x v="0"/>
    <x v="1"/>
  </r>
  <r>
    <x v="3"/>
    <x v="0"/>
    <x v="0"/>
  </r>
  <r>
    <x v="0"/>
    <x v="0"/>
    <x v="1"/>
  </r>
  <r>
    <x v="1"/>
    <x v="0"/>
    <x v="1"/>
  </r>
  <r>
    <x v="0"/>
    <x v="0"/>
    <x v="1"/>
  </r>
  <r>
    <x v="1"/>
    <x v="0"/>
    <x v="1"/>
  </r>
  <r>
    <x v="3"/>
    <x v="0"/>
    <x v="1"/>
  </r>
  <r>
    <x v="4"/>
    <x v="0"/>
    <x v="1"/>
  </r>
  <r>
    <x v="1"/>
    <x v="0"/>
    <x v="0"/>
  </r>
  <r>
    <x v="1"/>
    <x v="0"/>
    <x v="1"/>
  </r>
  <r>
    <x v="0"/>
    <x v="0"/>
    <x v="0"/>
  </r>
  <r>
    <x v="2"/>
    <x v="0"/>
    <x v="2"/>
  </r>
  <r>
    <x v="2"/>
    <x v="0"/>
    <x v="2"/>
  </r>
  <r>
    <x v="1"/>
    <x v="0"/>
    <x v="1"/>
  </r>
  <r>
    <x v="3"/>
    <x v="0"/>
    <x v="1"/>
  </r>
  <r>
    <x v="4"/>
    <x v="0"/>
    <x v="1"/>
  </r>
  <r>
    <x v="1"/>
    <x v="0"/>
    <x v="1"/>
  </r>
  <r>
    <x v="1"/>
    <x v="0"/>
    <x v="1"/>
  </r>
  <r>
    <x v="9"/>
    <x v="0"/>
    <x v="1"/>
  </r>
  <r>
    <x v="1"/>
    <x v="0"/>
    <x v="1"/>
  </r>
  <r>
    <x v="0"/>
    <x v="0"/>
    <x v="0"/>
  </r>
  <r>
    <x v="0"/>
    <x v="0"/>
    <x v="0"/>
  </r>
  <r>
    <x v="0"/>
    <x v="0"/>
    <x v="1"/>
  </r>
  <r>
    <x v="0"/>
    <x v="0"/>
    <x v="1"/>
  </r>
  <r>
    <x v="2"/>
    <x v="0"/>
    <x v="2"/>
  </r>
  <r>
    <x v="1"/>
    <x v="0"/>
    <x v="1"/>
  </r>
  <r>
    <x v="1"/>
    <x v="0"/>
    <x v="1"/>
  </r>
  <r>
    <x v="0"/>
    <x v="1"/>
    <x v="0"/>
  </r>
  <r>
    <x v="0"/>
    <x v="1"/>
    <x v="0"/>
  </r>
  <r>
    <x v="3"/>
    <x v="1"/>
    <x v="1"/>
  </r>
  <r>
    <x v="5"/>
    <x v="1"/>
    <x v="1"/>
  </r>
  <r>
    <x v="1"/>
    <x v="1"/>
    <x v="1"/>
  </r>
  <r>
    <x v="1"/>
    <x v="1"/>
    <x v="2"/>
  </r>
  <r>
    <x v="8"/>
    <x v="1"/>
    <x v="0"/>
  </r>
  <r>
    <x v="1"/>
    <x v="1"/>
    <x v="0"/>
  </r>
  <r>
    <x v="1"/>
    <x v="1"/>
    <x v="1"/>
  </r>
  <r>
    <x v="1"/>
    <x v="1"/>
    <x v="1"/>
  </r>
  <r>
    <x v="0"/>
    <x v="1"/>
    <x v="1"/>
  </r>
  <r>
    <x v="0"/>
    <x v="1"/>
    <x v="2"/>
  </r>
  <r>
    <x v="11"/>
    <x v="1"/>
    <x v="1"/>
  </r>
  <r>
    <x v="0"/>
    <x v="1"/>
    <x v="0"/>
  </r>
  <r>
    <x v="8"/>
    <x v="1"/>
    <x v="1"/>
  </r>
  <r>
    <x v="0"/>
    <x v="1"/>
    <x v="1"/>
  </r>
  <r>
    <x v="1"/>
    <x v="1"/>
    <x v="1"/>
  </r>
  <r>
    <x v="1"/>
    <x v="1"/>
    <x v="1"/>
  </r>
  <r>
    <x v="0"/>
    <x v="1"/>
    <x v="1"/>
  </r>
  <r>
    <x v="13"/>
    <x v="1"/>
    <x v="0"/>
  </r>
  <r>
    <x v="0"/>
    <x v="1"/>
    <x v="1"/>
  </r>
  <r>
    <x v="1"/>
    <x v="1"/>
    <x v="1"/>
  </r>
  <r>
    <x v="0"/>
    <x v="1"/>
    <x v="1"/>
  </r>
  <r>
    <x v="0"/>
    <x v="1"/>
    <x v="1"/>
  </r>
  <r>
    <x v="0"/>
    <x v="1"/>
    <x v="1"/>
  </r>
  <r>
    <x v="3"/>
    <x v="1"/>
    <x v="2"/>
  </r>
  <r>
    <x v="0"/>
    <x v="1"/>
    <x v="0"/>
  </r>
  <r>
    <x v="14"/>
    <x v="1"/>
    <x v="0"/>
  </r>
  <r>
    <x v="0"/>
    <x v="1"/>
    <x v="1"/>
  </r>
  <r>
    <x v="0"/>
    <x v="1"/>
    <x v="1"/>
  </r>
  <r>
    <x v="4"/>
    <x v="1"/>
    <x v="1"/>
  </r>
  <r>
    <x v="0"/>
    <x v="1"/>
    <x v="1"/>
  </r>
  <r>
    <x v="1"/>
    <x v="1"/>
    <x v="0"/>
  </r>
  <r>
    <x v="1"/>
    <x v="1"/>
    <x v="1"/>
  </r>
  <r>
    <x v="1"/>
    <x v="1"/>
    <x v="0"/>
  </r>
  <r>
    <x v="1"/>
    <x v="1"/>
    <x v="1"/>
  </r>
  <r>
    <x v="0"/>
    <x v="1"/>
    <x v="0"/>
  </r>
  <r>
    <x v="4"/>
    <x v="1"/>
    <x v="1"/>
  </r>
  <r>
    <x v="1"/>
    <x v="1"/>
    <x v="1"/>
  </r>
  <r>
    <x v="1"/>
    <x v="1"/>
    <x v="0"/>
  </r>
  <r>
    <x v="0"/>
    <x v="1"/>
    <x v="1"/>
  </r>
  <r>
    <x v="3"/>
    <x v="1"/>
    <x v="1"/>
  </r>
  <r>
    <x v="0"/>
    <x v="1"/>
    <x v="1"/>
  </r>
  <r>
    <x v="1"/>
    <x v="1"/>
    <x v="1"/>
  </r>
  <r>
    <x v="1"/>
    <x v="1"/>
    <x v="1"/>
  </r>
  <r>
    <x v="1"/>
    <x v="1"/>
    <x v="0"/>
  </r>
  <r>
    <x v="1"/>
    <x v="1"/>
    <x v="0"/>
  </r>
  <r>
    <x v="0"/>
    <x v="1"/>
    <x v="0"/>
  </r>
  <r>
    <x v="0"/>
    <x v="1"/>
    <x v="0"/>
  </r>
  <r>
    <x v="0"/>
    <x v="1"/>
    <x v="0"/>
  </r>
  <r>
    <x v="1"/>
    <x v="1"/>
    <x v="1"/>
  </r>
  <r>
    <x v="0"/>
    <x v="1"/>
    <x v="1"/>
  </r>
  <r>
    <x v="0"/>
    <x v="1"/>
    <x v="0"/>
  </r>
  <r>
    <x v="0"/>
    <x v="1"/>
    <x v="0"/>
  </r>
  <r>
    <x v="0"/>
    <x v="1"/>
    <x v="0"/>
  </r>
  <r>
    <x v="0"/>
    <x v="1"/>
    <x v="1"/>
  </r>
  <r>
    <x v="3"/>
    <x v="1"/>
    <x v="1"/>
  </r>
  <r>
    <x v="1"/>
    <x v="1"/>
    <x v="1"/>
  </r>
  <r>
    <x v="1"/>
    <x v="1"/>
    <x v="0"/>
  </r>
  <r>
    <x v="5"/>
    <x v="1"/>
    <x v="1"/>
  </r>
  <r>
    <x v="1"/>
    <x v="1"/>
    <x v="0"/>
  </r>
  <r>
    <x v="0"/>
    <x v="1"/>
    <x v="1"/>
  </r>
  <r>
    <x v="3"/>
    <x v="1"/>
    <x v="0"/>
  </r>
  <r>
    <x v="3"/>
    <x v="1"/>
    <x v="1"/>
  </r>
  <r>
    <x v="0"/>
    <x v="1"/>
    <x v="0"/>
  </r>
  <r>
    <x v="0"/>
    <x v="1"/>
    <x v="1"/>
  </r>
  <r>
    <x v="3"/>
    <x v="1"/>
    <x v="1"/>
  </r>
  <r>
    <x v="1"/>
    <x v="1"/>
    <x v="1"/>
  </r>
  <r>
    <x v="14"/>
    <x v="1"/>
    <x v="1"/>
  </r>
  <r>
    <x v="0"/>
    <x v="1"/>
    <x v="1"/>
  </r>
  <r>
    <x v="4"/>
    <x v="1"/>
    <x v="2"/>
  </r>
  <r>
    <x v="14"/>
    <x v="1"/>
    <x v="2"/>
  </r>
  <r>
    <x v="5"/>
    <x v="1"/>
    <x v="2"/>
  </r>
  <r>
    <x v="1"/>
    <x v="1"/>
    <x v="1"/>
  </r>
  <r>
    <x v="3"/>
    <x v="1"/>
    <x v="0"/>
  </r>
  <r>
    <x v="4"/>
    <x v="1"/>
    <x v="1"/>
  </r>
  <r>
    <x v="14"/>
    <x v="1"/>
    <x v="1"/>
  </r>
  <r>
    <x v="4"/>
    <x v="1"/>
    <x v="1"/>
  </r>
  <r>
    <x v="15"/>
    <x v="1"/>
    <x v="0"/>
  </r>
  <r>
    <x v="1"/>
    <x v="1"/>
    <x v="1"/>
  </r>
  <r>
    <x v="0"/>
    <x v="1"/>
    <x v="0"/>
  </r>
  <r>
    <x v="1"/>
    <x v="1"/>
    <x v="1"/>
  </r>
  <r>
    <x v="1"/>
    <x v="1"/>
    <x v="1"/>
  </r>
  <r>
    <x v="0"/>
    <x v="1"/>
    <x v="1"/>
  </r>
  <r>
    <x v="0"/>
    <x v="1"/>
    <x v="0"/>
  </r>
  <r>
    <x v="8"/>
    <x v="1"/>
    <x v="2"/>
  </r>
  <r>
    <x v="1"/>
    <x v="1"/>
    <x v="0"/>
  </r>
  <r>
    <x v="3"/>
    <x v="1"/>
    <x v="1"/>
  </r>
  <r>
    <x v="3"/>
    <x v="1"/>
    <x v="1"/>
  </r>
  <r>
    <x v="8"/>
    <x v="1"/>
    <x v="1"/>
  </r>
  <r>
    <x v="14"/>
    <x v="1"/>
    <x v="2"/>
  </r>
  <r>
    <x v="1"/>
    <x v="1"/>
    <x v="0"/>
  </r>
  <r>
    <x v="1"/>
    <x v="1"/>
    <x v="0"/>
  </r>
  <r>
    <x v="0"/>
    <x v="1"/>
    <x v="0"/>
  </r>
  <r>
    <x v="0"/>
    <x v="1"/>
    <x v="0"/>
  </r>
  <r>
    <x v="1"/>
    <x v="1"/>
    <x v="1"/>
  </r>
  <r>
    <x v="1"/>
    <x v="1"/>
    <x v="1"/>
  </r>
  <r>
    <x v="1"/>
    <x v="1"/>
    <x v="0"/>
  </r>
  <r>
    <x v="1"/>
    <x v="1"/>
    <x v="1"/>
  </r>
  <r>
    <x v="0"/>
    <x v="1"/>
    <x v="1"/>
  </r>
  <r>
    <x v="3"/>
    <x v="1"/>
    <x v="1"/>
  </r>
  <r>
    <x v="1"/>
    <x v="1"/>
    <x v="0"/>
  </r>
  <r>
    <x v="1"/>
    <x v="1"/>
    <x v="0"/>
  </r>
  <r>
    <x v="3"/>
    <x v="1"/>
    <x v="1"/>
  </r>
  <r>
    <x v="3"/>
    <x v="1"/>
    <x v="1"/>
  </r>
  <r>
    <x v="1"/>
    <x v="1"/>
    <x v="1"/>
  </r>
  <r>
    <x v="0"/>
    <x v="1"/>
    <x v="1"/>
  </r>
  <r>
    <x v="11"/>
    <x v="1"/>
    <x v="0"/>
  </r>
  <r>
    <x v="1"/>
    <x v="1"/>
    <x v="1"/>
  </r>
  <r>
    <x v="1"/>
    <x v="1"/>
    <x v="0"/>
  </r>
  <r>
    <x v="1"/>
    <x v="1"/>
    <x v="1"/>
  </r>
  <r>
    <x v="0"/>
    <x v="1"/>
    <x v="1"/>
  </r>
  <r>
    <x v="3"/>
    <x v="1"/>
    <x v="1"/>
  </r>
  <r>
    <x v="1"/>
    <x v="1"/>
    <x v="1"/>
  </r>
  <r>
    <x v="5"/>
    <x v="1"/>
    <x v="2"/>
  </r>
  <r>
    <x v="0"/>
    <x v="1"/>
    <x v="1"/>
  </r>
  <r>
    <x v="5"/>
    <x v="1"/>
    <x v="0"/>
  </r>
  <r>
    <x v="1"/>
    <x v="1"/>
    <x v="0"/>
  </r>
  <r>
    <x v="3"/>
    <x v="1"/>
    <x v="1"/>
  </r>
  <r>
    <x v="1"/>
    <x v="1"/>
    <x v="1"/>
  </r>
  <r>
    <x v="1"/>
    <x v="1"/>
    <x v="0"/>
  </r>
  <r>
    <x v="0"/>
    <x v="1"/>
    <x v="1"/>
  </r>
  <r>
    <x v="0"/>
    <x v="1"/>
    <x v="1"/>
  </r>
  <r>
    <x v="1"/>
    <x v="1"/>
    <x v="1"/>
  </r>
  <r>
    <x v="1"/>
    <x v="1"/>
    <x v="1"/>
  </r>
  <r>
    <x v="11"/>
    <x v="1"/>
    <x v="2"/>
  </r>
  <r>
    <x v="1"/>
    <x v="1"/>
    <x v="0"/>
  </r>
  <r>
    <x v="3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0"/>
    <x v="1"/>
    <x v="1"/>
  </r>
  <r>
    <x v="6"/>
    <x v="1"/>
    <x v="1"/>
  </r>
  <r>
    <x v="0"/>
    <x v="1"/>
    <x v="0"/>
  </r>
  <r>
    <x v="1"/>
    <x v="1"/>
    <x v="0"/>
  </r>
  <r>
    <x v="1"/>
    <x v="1"/>
    <x v="0"/>
  </r>
  <r>
    <x v="0"/>
    <x v="1"/>
    <x v="1"/>
  </r>
  <r>
    <x v="13"/>
    <x v="1"/>
    <x v="1"/>
  </r>
  <r>
    <x v="13"/>
    <x v="1"/>
    <x v="1"/>
  </r>
  <r>
    <x v="0"/>
    <x v="1"/>
    <x v="0"/>
  </r>
  <r>
    <x v="1"/>
    <x v="1"/>
    <x v="1"/>
  </r>
  <r>
    <x v="0"/>
    <x v="1"/>
    <x v="0"/>
  </r>
  <r>
    <x v="1"/>
    <x v="1"/>
    <x v="1"/>
  </r>
  <r>
    <x v="1"/>
    <x v="1"/>
    <x v="0"/>
  </r>
  <r>
    <x v="8"/>
    <x v="1"/>
    <x v="1"/>
  </r>
  <r>
    <x v="8"/>
    <x v="1"/>
    <x v="1"/>
  </r>
  <r>
    <x v="1"/>
    <x v="1"/>
    <x v="0"/>
  </r>
  <r>
    <x v="3"/>
    <x v="1"/>
    <x v="1"/>
  </r>
  <r>
    <x v="1"/>
    <x v="1"/>
    <x v="0"/>
  </r>
  <r>
    <x v="0"/>
    <x v="1"/>
    <x v="1"/>
  </r>
  <r>
    <x v="0"/>
    <x v="1"/>
    <x v="1"/>
  </r>
  <r>
    <x v="1"/>
    <x v="1"/>
    <x v="1"/>
  </r>
  <r>
    <x v="1"/>
    <x v="1"/>
    <x v="1"/>
  </r>
  <r>
    <x v="3"/>
    <x v="1"/>
    <x v="1"/>
  </r>
  <r>
    <x v="0"/>
    <x v="1"/>
    <x v="1"/>
  </r>
  <r>
    <x v="0"/>
    <x v="1"/>
    <x v="1"/>
  </r>
  <r>
    <x v="1"/>
    <x v="1"/>
    <x v="1"/>
  </r>
  <r>
    <x v="0"/>
    <x v="1"/>
    <x v="1"/>
  </r>
  <r>
    <x v="1"/>
    <x v="1"/>
    <x v="1"/>
  </r>
  <r>
    <x v="5"/>
    <x v="1"/>
    <x v="2"/>
  </r>
  <r>
    <x v="0"/>
    <x v="1"/>
    <x v="1"/>
  </r>
  <r>
    <x v="0"/>
    <x v="1"/>
    <x v="1"/>
  </r>
  <r>
    <x v="0"/>
    <x v="1"/>
    <x v="1"/>
  </r>
  <r>
    <x v="3"/>
    <x v="1"/>
    <x v="1"/>
  </r>
  <r>
    <x v="0"/>
    <x v="1"/>
    <x v="1"/>
  </r>
  <r>
    <x v="0"/>
    <x v="1"/>
    <x v="1"/>
  </r>
  <r>
    <x v="5"/>
    <x v="1"/>
    <x v="1"/>
  </r>
  <r>
    <x v="3"/>
    <x v="1"/>
    <x v="1"/>
  </r>
  <r>
    <x v="0"/>
    <x v="1"/>
    <x v="1"/>
  </r>
  <r>
    <x v="3"/>
    <x v="1"/>
    <x v="1"/>
  </r>
  <r>
    <x v="1"/>
    <x v="1"/>
    <x v="1"/>
  </r>
  <r>
    <x v="1"/>
    <x v="1"/>
    <x v="1"/>
  </r>
  <r>
    <x v="0"/>
    <x v="1"/>
    <x v="1"/>
  </r>
  <r>
    <x v="1"/>
    <x v="1"/>
    <x v="1"/>
  </r>
  <r>
    <x v="2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B396E4-F9DC-1048-A83A-A59CD645B82C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S3:T8" firstHeaderRow="1" firstDataRow="1" firstDataCol="1"/>
  <pivotFields count="3">
    <pivotField showAll="0">
      <items count="17">
        <item x="6"/>
        <item x="1"/>
        <item x="0"/>
        <item x="3"/>
        <item x="4"/>
        <item x="14"/>
        <item x="5"/>
        <item x="8"/>
        <item x="11"/>
        <item x="12"/>
        <item x="13"/>
        <item x="7"/>
        <item x="9"/>
        <item x="10"/>
        <item x="15"/>
        <item x="2"/>
        <item t="default"/>
      </items>
    </pivotField>
    <pivotField showAll="0"/>
    <pivotField axis="axisRow" dataField="1"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OD_DEPE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47D82D-88EA-0948-ACD7-AEB0D45AC030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P3:Q7" firstHeaderRow="1" firstDataRow="1" firstDataCol="1"/>
  <pivotFields count="3">
    <pivotField showAll="0">
      <items count="17">
        <item x="6"/>
        <item x="1"/>
        <item x="0"/>
        <item x="3"/>
        <item x="4"/>
        <item x="14"/>
        <item x="5"/>
        <item x="8"/>
        <item x="11"/>
        <item x="12"/>
        <item x="13"/>
        <item x="7"/>
        <item x="9"/>
        <item x="10"/>
        <item x="15"/>
        <item x="2"/>
        <item t="default"/>
      </items>
    </pivotField>
    <pivotField axis="axisRow" dataField="1" showAll="0">
      <items count="4">
        <item x="1"/>
        <item x="0"/>
        <item x="2"/>
        <item t="default"/>
      </items>
    </pivotField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EXO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89D56C-479C-C54F-9B4A-46B248DC0361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M3:N20" firstHeaderRow="1" firstDataRow="1" firstDataCol="1"/>
  <pivotFields count="3">
    <pivotField axis="axisRow" dataField="1" showAll="0">
      <items count="17">
        <item x="6"/>
        <item x="1"/>
        <item x="0"/>
        <item x="3"/>
        <item x="4"/>
        <item x="14"/>
        <item x="5"/>
        <item x="8"/>
        <item x="11"/>
        <item x="12"/>
        <item x="13"/>
        <item x="7"/>
        <item x="9"/>
        <item x="10"/>
        <item x="15"/>
        <item x="2"/>
        <item t="default"/>
      </items>
    </pivotField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EDA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E86A9-6ECD-6048-9646-B7CF8799E70E}">
  <dimension ref="A1:T351"/>
  <sheetViews>
    <sheetView workbookViewId="0">
      <selection sqref="A1:F1048576"/>
    </sheetView>
  </sheetViews>
  <sheetFormatPr baseColWidth="10" defaultRowHeight="16" x14ac:dyDescent="0.2"/>
  <cols>
    <col min="10" max="10" width="13" bestFit="1" customWidth="1"/>
    <col min="11" max="11" width="13.33203125" bestFit="1" customWidth="1"/>
    <col min="13" max="13" width="13" bestFit="1" customWidth="1"/>
    <col min="14" max="14" width="12.83203125" bestFit="1" customWidth="1"/>
    <col min="16" max="16" width="13" bestFit="1" customWidth="1"/>
    <col min="17" max="17" width="18" bestFit="1" customWidth="1"/>
  </cols>
  <sheetData>
    <row r="1" spans="1:20" x14ac:dyDescent="0.2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6</v>
      </c>
      <c r="H1" t="s">
        <v>15</v>
      </c>
      <c r="I1" t="s">
        <v>7</v>
      </c>
      <c r="J1" t="s">
        <v>2</v>
      </c>
      <c r="K1" t="s">
        <v>3</v>
      </c>
      <c r="L1" t="s">
        <v>6</v>
      </c>
    </row>
    <row r="2" spans="1:20" x14ac:dyDescent="0.2">
      <c r="A2">
        <v>3592</v>
      </c>
      <c r="B2">
        <v>19</v>
      </c>
      <c r="C2" t="s">
        <v>4</v>
      </c>
      <c r="D2">
        <v>1</v>
      </c>
      <c r="E2">
        <v>570</v>
      </c>
      <c r="F2" s="1">
        <v>4.5901103674081298</v>
      </c>
      <c r="H2">
        <f>COUNTBLANK(B2:B351)</f>
        <v>9</v>
      </c>
      <c r="I2">
        <f t="shared" ref="I2:L2" si="0">COUNTBLANK(C2:C351)</f>
        <v>0</v>
      </c>
      <c r="J2">
        <f t="shared" si="0"/>
        <v>0</v>
      </c>
      <c r="K2">
        <f t="shared" si="0"/>
        <v>0</v>
      </c>
      <c r="L2">
        <f t="shared" si="0"/>
        <v>8</v>
      </c>
    </row>
    <row r="3" spans="1:20" x14ac:dyDescent="0.2">
      <c r="A3">
        <v>3592</v>
      </c>
      <c r="B3">
        <v>19</v>
      </c>
      <c r="C3" t="s">
        <v>4</v>
      </c>
      <c r="D3">
        <v>1</v>
      </c>
      <c r="E3">
        <v>570</v>
      </c>
      <c r="F3" s="1">
        <v>4.5901103674081298</v>
      </c>
      <c r="G3" s="2"/>
      <c r="M3" s="3" t="s">
        <v>8</v>
      </c>
      <c r="N3" t="s">
        <v>11</v>
      </c>
      <c r="P3" s="3" t="s">
        <v>8</v>
      </c>
      <c r="Q3" t="s">
        <v>12</v>
      </c>
      <c r="S3" s="3" t="s">
        <v>8</v>
      </c>
      <c r="T3" t="s">
        <v>13</v>
      </c>
    </row>
    <row r="4" spans="1:20" x14ac:dyDescent="0.2">
      <c r="A4">
        <v>20890</v>
      </c>
      <c r="B4">
        <v>19</v>
      </c>
      <c r="C4" t="s">
        <v>4</v>
      </c>
      <c r="D4">
        <v>2</v>
      </c>
      <c r="E4">
        <v>612</v>
      </c>
      <c r="F4" s="1">
        <v>5.2624467919022671</v>
      </c>
      <c r="M4" s="4">
        <v>17</v>
      </c>
      <c r="N4" s="5">
        <v>3</v>
      </c>
      <c r="P4" s="4" t="s">
        <v>5</v>
      </c>
      <c r="Q4" s="5">
        <v>175</v>
      </c>
      <c r="S4" s="4">
        <v>1</v>
      </c>
      <c r="T4" s="5">
        <v>105</v>
      </c>
    </row>
    <row r="5" spans="1:20" x14ac:dyDescent="0.2">
      <c r="A5">
        <v>34531</v>
      </c>
      <c r="B5">
        <v>18</v>
      </c>
      <c r="C5" t="s">
        <v>4</v>
      </c>
      <c r="D5">
        <v>2</v>
      </c>
      <c r="E5">
        <v>653</v>
      </c>
      <c r="F5" s="1">
        <v>5.4006997595567929</v>
      </c>
      <c r="M5" s="4">
        <v>18</v>
      </c>
      <c r="N5" s="5">
        <v>137</v>
      </c>
      <c r="P5" s="4" t="s">
        <v>4</v>
      </c>
      <c r="Q5" s="5">
        <v>175</v>
      </c>
      <c r="S5" s="4">
        <v>2</v>
      </c>
      <c r="T5" s="5">
        <v>225</v>
      </c>
    </row>
    <row r="6" spans="1:20" x14ac:dyDescent="0.2">
      <c r="A6">
        <v>34531</v>
      </c>
      <c r="B6">
        <v>18</v>
      </c>
      <c r="C6" t="s">
        <v>4</v>
      </c>
      <c r="D6">
        <v>2</v>
      </c>
      <c r="E6">
        <v>653</v>
      </c>
      <c r="F6" s="1">
        <v>5.4006997595567929</v>
      </c>
      <c r="I6" t="s">
        <v>14</v>
      </c>
      <c r="M6" s="4">
        <v>19</v>
      </c>
      <c r="N6" s="5">
        <v>112</v>
      </c>
      <c r="P6" s="4" t="s">
        <v>9</v>
      </c>
      <c r="Q6" s="5"/>
      <c r="S6" s="4">
        <v>3</v>
      </c>
      <c r="T6" s="5">
        <v>20</v>
      </c>
    </row>
    <row r="7" spans="1:20" x14ac:dyDescent="0.2">
      <c r="A7">
        <v>51189</v>
      </c>
      <c r="B7">
        <v>18</v>
      </c>
      <c r="C7" t="s">
        <v>4</v>
      </c>
      <c r="D7">
        <v>2</v>
      </c>
      <c r="E7">
        <v>660</v>
      </c>
      <c r="F7" s="1">
        <v>5.7479813126271537</v>
      </c>
      <c r="M7" s="4">
        <v>20</v>
      </c>
      <c r="N7" s="5">
        <v>35</v>
      </c>
      <c r="P7" s="4" t="s">
        <v>10</v>
      </c>
      <c r="Q7" s="5">
        <v>350</v>
      </c>
      <c r="S7" s="4" t="s">
        <v>9</v>
      </c>
      <c r="T7" s="5"/>
    </row>
    <row r="8" spans="1:20" x14ac:dyDescent="0.2">
      <c r="A8">
        <v>52404</v>
      </c>
      <c r="B8">
        <v>19</v>
      </c>
      <c r="C8" t="s">
        <v>4</v>
      </c>
      <c r="D8">
        <v>1</v>
      </c>
      <c r="E8">
        <v>630</v>
      </c>
      <c r="F8" s="1">
        <v>5.4246983893074718</v>
      </c>
      <c r="M8" s="4">
        <v>21</v>
      </c>
      <c r="N8" s="5">
        <v>18</v>
      </c>
      <c r="S8" s="4" t="s">
        <v>10</v>
      </c>
      <c r="T8" s="5">
        <v>350</v>
      </c>
    </row>
    <row r="9" spans="1:20" x14ac:dyDescent="0.2">
      <c r="A9">
        <v>67752</v>
      </c>
      <c r="B9">
        <v>19</v>
      </c>
      <c r="C9" t="s">
        <v>4</v>
      </c>
      <c r="D9">
        <v>1</v>
      </c>
      <c r="E9">
        <v>653</v>
      </c>
      <c r="F9" s="1">
        <v>5.453464567925236</v>
      </c>
      <c r="M9" s="4">
        <v>22</v>
      </c>
      <c r="N9" s="5">
        <v>5</v>
      </c>
    </row>
    <row r="10" spans="1:20" x14ac:dyDescent="0.2">
      <c r="A10">
        <v>71482</v>
      </c>
      <c r="B10">
        <v>19</v>
      </c>
      <c r="C10" t="s">
        <v>4</v>
      </c>
      <c r="D10">
        <v>2</v>
      </c>
      <c r="E10">
        <v>567</v>
      </c>
      <c r="F10" s="1">
        <v>4.2614194535972443</v>
      </c>
      <c r="M10" s="4">
        <v>23</v>
      </c>
      <c r="N10" s="5">
        <v>8</v>
      </c>
    </row>
    <row r="11" spans="1:20" x14ac:dyDescent="0.2">
      <c r="A11">
        <v>72287</v>
      </c>
      <c r="B11">
        <v>18</v>
      </c>
      <c r="C11" t="s">
        <v>4</v>
      </c>
      <c r="D11">
        <v>1</v>
      </c>
      <c r="E11">
        <v>576</v>
      </c>
      <c r="F11" s="1">
        <v>4.9457416345462777</v>
      </c>
      <c r="M11" s="4">
        <v>24</v>
      </c>
      <c r="N11" s="5">
        <v>9</v>
      </c>
    </row>
    <row r="12" spans="1:20" x14ac:dyDescent="0.2">
      <c r="A12">
        <v>75301</v>
      </c>
      <c r="B12">
        <v>19</v>
      </c>
      <c r="C12" t="s">
        <v>4</v>
      </c>
      <c r="D12">
        <v>1</v>
      </c>
      <c r="E12">
        <v>593</v>
      </c>
      <c r="F12" s="1">
        <v>5.0778289896022688</v>
      </c>
      <c r="M12" s="4">
        <v>25</v>
      </c>
      <c r="N12" s="5">
        <v>4</v>
      </c>
    </row>
    <row r="13" spans="1:20" x14ac:dyDescent="0.2">
      <c r="A13">
        <v>95116</v>
      </c>
      <c r="B13">
        <v>18</v>
      </c>
      <c r="C13" t="s">
        <v>4</v>
      </c>
      <c r="D13">
        <v>2</v>
      </c>
      <c r="E13">
        <v>640</v>
      </c>
      <c r="F13" s="1">
        <v>5.1674642345158617</v>
      </c>
      <c r="M13" s="4">
        <v>26</v>
      </c>
      <c r="N13" s="5">
        <v>2</v>
      </c>
    </row>
    <row r="14" spans="1:20" x14ac:dyDescent="0.2">
      <c r="A14">
        <v>99330</v>
      </c>
      <c r="B14">
        <v>18</v>
      </c>
      <c r="C14" t="s">
        <v>4</v>
      </c>
      <c r="D14">
        <v>1</v>
      </c>
      <c r="E14">
        <v>640</v>
      </c>
      <c r="F14" s="1">
        <v>5.4288162056951883</v>
      </c>
      <c r="M14" s="4">
        <v>27</v>
      </c>
      <c r="N14" s="5">
        <v>3</v>
      </c>
    </row>
    <row r="15" spans="1:20" x14ac:dyDescent="0.2">
      <c r="A15">
        <v>99461</v>
      </c>
      <c r="B15">
        <v>18</v>
      </c>
      <c r="C15" t="s">
        <v>4</v>
      </c>
      <c r="D15">
        <v>2</v>
      </c>
      <c r="E15">
        <v>615</v>
      </c>
      <c r="F15" s="1">
        <v>4.9278497163858095</v>
      </c>
      <c r="M15" s="4">
        <v>29</v>
      </c>
      <c r="N15" s="5">
        <v>1</v>
      </c>
    </row>
    <row r="16" spans="1:20" x14ac:dyDescent="0.2">
      <c r="A16">
        <v>116290</v>
      </c>
      <c r="B16">
        <v>19</v>
      </c>
      <c r="C16" t="s">
        <v>4</v>
      </c>
      <c r="D16">
        <v>2</v>
      </c>
      <c r="E16">
        <v>550</v>
      </c>
      <c r="F16" s="1">
        <v>4.9563337129665594</v>
      </c>
      <c r="M16" s="4">
        <v>32</v>
      </c>
      <c r="N16" s="5">
        <v>2</v>
      </c>
    </row>
    <row r="17" spans="1:14" x14ac:dyDescent="0.2">
      <c r="A17">
        <v>130464</v>
      </c>
      <c r="C17" t="s">
        <v>4</v>
      </c>
      <c r="D17">
        <v>3</v>
      </c>
      <c r="E17">
        <v>663</v>
      </c>
      <c r="F17" s="1">
        <v>5.2017112283470635</v>
      </c>
      <c r="M17" s="4">
        <v>36</v>
      </c>
      <c r="N17" s="5">
        <v>1</v>
      </c>
    </row>
    <row r="18" spans="1:14" x14ac:dyDescent="0.2">
      <c r="A18">
        <v>134153</v>
      </c>
      <c r="B18">
        <v>18</v>
      </c>
      <c r="C18" t="s">
        <v>4</v>
      </c>
      <c r="D18">
        <v>2</v>
      </c>
      <c r="E18">
        <v>585</v>
      </c>
      <c r="F18" s="1">
        <v>4.7884500965282797</v>
      </c>
      <c r="M18" s="4">
        <v>45</v>
      </c>
      <c r="N18" s="5">
        <v>1</v>
      </c>
    </row>
    <row r="19" spans="1:14" x14ac:dyDescent="0.2">
      <c r="A19">
        <v>134583</v>
      </c>
      <c r="B19">
        <v>18</v>
      </c>
      <c r="C19" t="s">
        <v>4</v>
      </c>
      <c r="D19">
        <v>2</v>
      </c>
      <c r="E19">
        <v>607</v>
      </c>
      <c r="F19" s="1">
        <v>5.2297124759744849</v>
      </c>
      <c r="M19" s="4" t="s">
        <v>9</v>
      </c>
      <c r="N19" s="5"/>
    </row>
    <row r="20" spans="1:14" x14ac:dyDescent="0.2">
      <c r="A20">
        <v>134583</v>
      </c>
      <c r="B20">
        <v>18</v>
      </c>
      <c r="C20" t="s">
        <v>4</v>
      </c>
      <c r="D20">
        <v>2</v>
      </c>
      <c r="E20">
        <v>607</v>
      </c>
      <c r="F20" s="1">
        <v>5.2297124759744849</v>
      </c>
      <c r="M20" s="4" t="s">
        <v>10</v>
      </c>
      <c r="N20" s="5">
        <v>341</v>
      </c>
    </row>
    <row r="21" spans="1:14" x14ac:dyDescent="0.2">
      <c r="A21">
        <v>135829</v>
      </c>
      <c r="B21">
        <v>18</v>
      </c>
      <c r="C21" t="s">
        <v>4</v>
      </c>
      <c r="D21">
        <v>2</v>
      </c>
      <c r="E21">
        <v>657</v>
      </c>
      <c r="F21" s="1">
        <v>5.6127853757399286</v>
      </c>
    </row>
    <row r="22" spans="1:14" x14ac:dyDescent="0.2">
      <c r="A22">
        <v>137849</v>
      </c>
      <c r="B22">
        <v>20</v>
      </c>
      <c r="C22" t="s">
        <v>4</v>
      </c>
      <c r="D22">
        <v>2</v>
      </c>
      <c r="E22">
        <v>575</v>
      </c>
      <c r="F22" s="1">
        <v>5.1520950698706569</v>
      </c>
    </row>
    <row r="23" spans="1:14" x14ac:dyDescent="0.2">
      <c r="A23">
        <v>146271</v>
      </c>
      <c r="B23">
        <v>18</v>
      </c>
      <c r="C23" t="s">
        <v>4</v>
      </c>
      <c r="D23">
        <v>2</v>
      </c>
      <c r="E23">
        <v>677</v>
      </c>
      <c r="F23" s="1"/>
    </row>
    <row r="24" spans="1:14" x14ac:dyDescent="0.2">
      <c r="A24">
        <v>150528</v>
      </c>
      <c r="B24">
        <v>19</v>
      </c>
      <c r="C24" t="s">
        <v>4</v>
      </c>
      <c r="D24">
        <v>2</v>
      </c>
      <c r="E24">
        <v>669</v>
      </c>
      <c r="F24" s="1">
        <v>5.8273497440842776</v>
      </c>
    </row>
    <row r="25" spans="1:14" x14ac:dyDescent="0.2">
      <c r="A25">
        <v>151306</v>
      </c>
      <c r="B25">
        <v>18</v>
      </c>
      <c r="C25" t="s">
        <v>4</v>
      </c>
      <c r="D25">
        <v>1</v>
      </c>
      <c r="E25">
        <v>655</v>
      </c>
      <c r="F25" s="1">
        <v>5.4441379683496685</v>
      </c>
    </row>
    <row r="26" spans="1:14" x14ac:dyDescent="0.2">
      <c r="A26">
        <v>157795</v>
      </c>
      <c r="B26">
        <v>21</v>
      </c>
      <c r="C26" t="s">
        <v>4</v>
      </c>
      <c r="D26">
        <v>2</v>
      </c>
      <c r="E26">
        <v>590</v>
      </c>
      <c r="F26" s="1">
        <v>4.8903815636880799</v>
      </c>
    </row>
    <row r="27" spans="1:14" x14ac:dyDescent="0.2">
      <c r="A27">
        <v>157795</v>
      </c>
      <c r="B27">
        <v>21</v>
      </c>
      <c r="C27" t="s">
        <v>4</v>
      </c>
      <c r="D27">
        <v>2</v>
      </c>
      <c r="E27">
        <v>590</v>
      </c>
      <c r="F27" s="1">
        <v>4.8903815636880799</v>
      </c>
    </row>
    <row r="28" spans="1:14" x14ac:dyDescent="0.2">
      <c r="A28">
        <v>160618</v>
      </c>
      <c r="B28">
        <v>18</v>
      </c>
      <c r="C28" t="s">
        <v>4</v>
      </c>
      <c r="D28">
        <v>2</v>
      </c>
      <c r="E28">
        <v>660</v>
      </c>
      <c r="F28" s="1">
        <v>5.1449659084649548</v>
      </c>
    </row>
    <row r="29" spans="1:14" x14ac:dyDescent="0.2">
      <c r="A29">
        <v>161552</v>
      </c>
      <c r="B29">
        <v>19</v>
      </c>
      <c r="C29" t="s">
        <v>4</v>
      </c>
      <c r="D29">
        <v>2</v>
      </c>
      <c r="E29">
        <v>600</v>
      </c>
      <c r="F29" s="1">
        <v>5.2384601195241336</v>
      </c>
    </row>
    <row r="30" spans="1:14" x14ac:dyDescent="0.2">
      <c r="A30">
        <v>176831</v>
      </c>
      <c r="B30">
        <v>19</v>
      </c>
      <c r="C30" t="s">
        <v>4</v>
      </c>
      <c r="D30">
        <v>1</v>
      </c>
      <c r="E30">
        <v>586</v>
      </c>
      <c r="F30" s="1">
        <v>4.8369199782126095</v>
      </c>
    </row>
    <row r="31" spans="1:14" x14ac:dyDescent="0.2">
      <c r="A31">
        <v>181010</v>
      </c>
      <c r="B31">
        <v>18</v>
      </c>
      <c r="C31" t="s">
        <v>4</v>
      </c>
      <c r="D31">
        <v>2</v>
      </c>
      <c r="E31">
        <v>600</v>
      </c>
      <c r="F31" s="1">
        <v>5.3214486496803008</v>
      </c>
    </row>
    <row r="32" spans="1:14" x14ac:dyDescent="0.2">
      <c r="A32">
        <v>184218</v>
      </c>
      <c r="B32">
        <v>21</v>
      </c>
      <c r="C32" t="s">
        <v>4</v>
      </c>
      <c r="D32">
        <v>2</v>
      </c>
      <c r="E32">
        <v>525</v>
      </c>
      <c r="F32" s="1">
        <v>4.6081850470585799</v>
      </c>
    </row>
    <row r="33" spans="1:6" x14ac:dyDescent="0.2">
      <c r="A33">
        <v>185986</v>
      </c>
      <c r="B33">
        <v>19</v>
      </c>
      <c r="C33" t="s">
        <v>4</v>
      </c>
      <c r="D33">
        <v>2</v>
      </c>
      <c r="E33">
        <v>620</v>
      </c>
      <c r="F33" s="1">
        <v>5.1346818225640849</v>
      </c>
    </row>
    <row r="34" spans="1:6" x14ac:dyDescent="0.2">
      <c r="A34">
        <v>205351</v>
      </c>
      <c r="C34" t="s">
        <v>4</v>
      </c>
      <c r="D34">
        <v>3</v>
      </c>
      <c r="E34">
        <v>540</v>
      </c>
      <c r="F34" s="1">
        <v>4.4978336105273868</v>
      </c>
    </row>
    <row r="35" spans="1:6" x14ac:dyDescent="0.2">
      <c r="A35">
        <v>209029</v>
      </c>
      <c r="B35">
        <v>19</v>
      </c>
      <c r="C35" t="s">
        <v>4</v>
      </c>
      <c r="D35">
        <v>1</v>
      </c>
      <c r="E35">
        <v>575</v>
      </c>
      <c r="F35" s="1">
        <v>5.1798827829859055</v>
      </c>
    </row>
    <row r="36" spans="1:6" x14ac:dyDescent="0.2">
      <c r="A36">
        <v>217108</v>
      </c>
      <c r="B36">
        <v>23</v>
      </c>
      <c r="C36" t="s">
        <v>4</v>
      </c>
      <c r="D36">
        <v>1</v>
      </c>
      <c r="E36">
        <v>557</v>
      </c>
      <c r="F36" s="1">
        <v>4.5434148608332734</v>
      </c>
    </row>
    <row r="37" spans="1:6" x14ac:dyDescent="0.2">
      <c r="A37">
        <v>218645</v>
      </c>
      <c r="B37">
        <v>18</v>
      </c>
      <c r="C37" t="s">
        <v>4</v>
      </c>
      <c r="D37">
        <v>2</v>
      </c>
      <c r="E37">
        <v>600</v>
      </c>
      <c r="F37" s="1">
        <v>4.5678109297296201</v>
      </c>
    </row>
    <row r="38" spans="1:6" x14ac:dyDescent="0.2">
      <c r="A38">
        <v>223154</v>
      </c>
      <c r="B38">
        <v>18</v>
      </c>
      <c r="C38" t="s">
        <v>4</v>
      </c>
      <c r="D38">
        <v>1</v>
      </c>
      <c r="E38">
        <v>575</v>
      </c>
      <c r="F38" s="1">
        <v>4.8227395252914462</v>
      </c>
    </row>
    <row r="39" spans="1:6" x14ac:dyDescent="0.2">
      <c r="A39">
        <v>249087</v>
      </c>
      <c r="B39">
        <v>19</v>
      </c>
      <c r="C39" t="s">
        <v>4</v>
      </c>
      <c r="D39">
        <v>2</v>
      </c>
      <c r="E39">
        <v>595</v>
      </c>
      <c r="F39" s="1">
        <v>4.3553371269780552</v>
      </c>
    </row>
    <row r="40" spans="1:6" x14ac:dyDescent="0.2">
      <c r="A40">
        <v>249087</v>
      </c>
      <c r="B40">
        <v>19</v>
      </c>
      <c r="C40" t="s">
        <v>4</v>
      </c>
      <c r="D40">
        <v>2</v>
      </c>
      <c r="E40">
        <v>595</v>
      </c>
      <c r="F40" s="1">
        <v>4.3553371269780552</v>
      </c>
    </row>
    <row r="41" spans="1:6" x14ac:dyDescent="0.2">
      <c r="A41">
        <v>266937</v>
      </c>
      <c r="B41">
        <v>18</v>
      </c>
      <c r="C41" t="s">
        <v>4</v>
      </c>
      <c r="D41">
        <v>2</v>
      </c>
      <c r="E41">
        <v>660</v>
      </c>
      <c r="F41" s="1">
        <v>5.212441107882869</v>
      </c>
    </row>
    <row r="42" spans="1:6" x14ac:dyDescent="0.2">
      <c r="A42">
        <v>278634</v>
      </c>
      <c r="B42">
        <v>18</v>
      </c>
      <c r="C42" t="s">
        <v>4</v>
      </c>
      <c r="D42">
        <v>1</v>
      </c>
      <c r="E42">
        <v>700</v>
      </c>
      <c r="F42" s="1">
        <v>6.0613726443749556</v>
      </c>
    </row>
    <row r="43" spans="1:6" x14ac:dyDescent="0.2">
      <c r="A43">
        <v>280247</v>
      </c>
      <c r="B43">
        <v>19</v>
      </c>
      <c r="C43" t="s">
        <v>4</v>
      </c>
      <c r="D43">
        <v>2</v>
      </c>
      <c r="E43">
        <v>553</v>
      </c>
      <c r="F43" s="1">
        <v>4.6033710383004625</v>
      </c>
    </row>
    <row r="44" spans="1:6" x14ac:dyDescent="0.2">
      <c r="A44">
        <v>317955</v>
      </c>
      <c r="B44">
        <v>18</v>
      </c>
      <c r="C44" t="s">
        <v>4</v>
      </c>
      <c r="D44">
        <v>2</v>
      </c>
      <c r="E44">
        <v>607</v>
      </c>
      <c r="F44" s="1">
        <v>4.897294557024396</v>
      </c>
    </row>
    <row r="45" spans="1:6" x14ac:dyDescent="0.2">
      <c r="A45">
        <v>318127</v>
      </c>
      <c r="B45">
        <v>18</v>
      </c>
      <c r="C45" t="s">
        <v>4</v>
      </c>
      <c r="D45">
        <v>2</v>
      </c>
      <c r="E45">
        <v>630</v>
      </c>
      <c r="F45" s="1">
        <v>5.2505055927876541</v>
      </c>
    </row>
    <row r="46" spans="1:6" x14ac:dyDescent="0.2">
      <c r="A46">
        <v>318178</v>
      </c>
      <c r="B46">
        <v>18</v>
      </c>
      <c r="C46" t="s">
        <v>4</v>
      </c>
      <c r="D46">
        <v>1</v>
      </c>
      <c r="E46">
        <v>657</v>
      </c>
      <c r="F46" s="1">
        <v>5.272388449697246</v>
      </c>
    </row>
    <row r="47" spans="1:6" x14ac:dyDescent="0.2">
      <c r="A47">
        <v>330345</v>
      </c>
      <c r="B47">
        <v>18</v>
      </c>
      <c r="C47" t="s">
        <v>4</v>
      </c>
      <c r="D47">
        <v>2</v>
      </c>
      <c r="E47">
        <v>547</v>
      </c>
      <c r="F47" s="1">
        <v>4.6768081709685196</v>
      </c>
    </row>
    <row r="48" spans="1:6" x14ac:dyDescent="0.2">
      <c r="A48">
        <v>339590</v>
      </c>
      <c r="B48">
        <v>18</v>
      </c>
      <c r="C48" t="s">
        <v>4</v>
      </c>
      <c r="D48">
        <v>2</v>
      </c>
      <c r="E48">
        <v>547</v>
      </c>
      <c r="F48" s="1">
        <v>4.6520791556460042</v>
      </c>
    </row>
    <row r="49" spans="1:6" x14ac:dyDescent="0.2">
      <c r="A49">
        <v>339590</v>
      </c>
      <c r="B49">
        <v>18</v>
      </c>
      <c r="C49" t="s">
        <v>4</v>
      </c>
      <c r="D49">
        <v>1</v>
      </c>
      <c r="E49">
        <v>550</v>
      </c>
      <c r="F49" s="1">
        <v>4.6520791556460042</v>
      </c>
    </row>
    <row r="50" spans="1:6" x14ac:dyDescent="0.2">
      <c r="A50">
        <v>343356</v>
      </c>
      <c r="B50">
        <v>18</v>
      </c>
      <c r="C50" t="s">
        <v>4</v>
      </c>
      <c r="D50">
        <v>2</v>
      </c>
      <c r="E50">
        <v>600</v>
      </c>
      <c r="F50" s="1">
        <v>5.1826768337275428</v>
      </c>
    </row>
    <row r="51" spans="1:6" x14ac:dyDescent="0.2">
      <c r="A51">
        <v>345984</v>
      </c>
      <c r="B51">
        <v>19</v>
      </c>
      <c r="C51" t="s">
        <v>4</v>
      </c>
      <c r="D51">
        <v>2</v>
      </c>
      <c r="E51">
        <v>596</v>
      </c>
      <c r="F51" s="1">
        <v>5.0680016109527601</v>
      </c>
    </row>
    <row r="52" spans="1:6" x14ac:dyDescent="0.2">
      <c r="A52">
        <v>345984</v>
      </c>
      <c r="B52">
        <v>19</v>
      </c>
      <c r="C52" t="s">
        <v>4</v>
      </c>
      <c r="D52">
        <v>2</v>
      </c>
      <c r="E52">
        <v>596</v>
      </c>
      <c r="F52" s="1">
        <v>5.0680016109527601</v>
      </c>
    </row>
    <row r="53" spans="1:6" x14ac:dyDescent="0.2">
      <c r="A53">
        <v>348498</v>
      </c>
      <c r="B53">
        <v>18</v>
      </c>
      <c r="C53" t="s">
        <v>4</v>
      </c>
      <c r="D53">
        <v>1</v>
      </c>
      <c r="E53">
        <v>599</v>
      </c>
      <c r="F53" s="1">
        <v>5.3332540243775135</v>
      </c>
    </row>
    <row r="54" spans="1:6" x14ac:dyDescent="0.2">
      <c r="A54">
        <v>353312</v>
      </c>
      <c r="B54">
        <v>21</v>
      </c>
      <c r="C54" t="s">
        <v>4</v>
      </c>
      <c r="D54">
        <v>1</v>
      </c>
      <c r="E54">
        <v>537</v>
      </c>
      <c r="F54" s="1">
        <v>4.8029405266513665</v>
      </c>
    </row>
    <row r="55" spans="1:6" x14ac:dyDescent="0.2">
      <c r="A55">
        <v>353669</v>
      </c>
      <c r="B55">
        <v>17</v>
      </c>
      <c r="C55" t="s">
        <v>4</v>
      </c>
      <c r="D55">
        <v>2</v>
      </c>
      <c r="E55">
        <v>625</v>
      </c>
      <c r="F55" s="1"/>
    </row>
    <row r="56" spans="1:6" x14ac:dyDescent="0.2">
      <c r="A56">
        <v>354292</v>
      </c>
      <c r="B56">
        <v>21</v>
      </c>
      <c r="C56" t="s">
        <v>4</v>
      </c>
      <c r="D56">
        <v>2</v>
      </c>
      <c r="E56">
        <v>667</v>
      </c>
      <c r="F56" s="1">
        <v>5.1272317504557403</v>
      </c>
    </row>
    <row r="57" spans="1:6" x14ac:dyDescent="0.2">
      <c r="A57">
        <v>371968</v>
      </c>
      <c r="B57">
        <v>18</v>
      </c>
      <c r="C57" t="s">
        <v>4</v>
      </c>
      <c r="D57">
        <v>2</v>
      </c>
      <c r="E57">
        <v>632</v>
      </c>
      <c r="F57" s="1">
        <v>5.0470755502634859</v>
      </c>
    </row>
    <row r="58" spans="1:6" x14ac:dyDescent="0.2">
      <c r="A58">
        <v>379435</v>
      </c>
      <c r="B58">
        <v>19</v>
      </c>
      <c r="C58" t="s">
        <v>4</v>
      </c>
      <c r="D58">
        <v>1</v>
      </c>
      <c r="E58">
        <v>632</v>
      </c>
      <c r="F58" s="1">
        <v>4.7505955320909496</v>
      </c>
    </row>
    <row r="59" spans="1:6" x14ac:dyDescent="0.2">
      <c r="A59">
        <v>388261</v>
      </c>
      <c r="B59">
        <v>18</v>
      </c>
      <c r="C59" t="s">
        <v>4</v>
      </c>
      <c r="D59">
        <v>2</v>
      </c>
      <c r="E59">
        <v>575</v>
      </c>
      <c r="F59" s="1">
        <v>4.9100065936109454</v>
      </c>
    </row>
    <row r="60" spans="1:6" x14ac:dyDescent="0.2">
      <c r="A60">
        <v>392091</v>
      </c>
      <c r="B60">
        <v>19</v>
      </c>
      <c r="C60" t="s">
        <v>4</v>
      </c>
      <c r="D60">
        <v>2</v>
      </c>
      <c r="E60">
        <v>590</v>
      </c>
      <c r="F60" s="1">
        <v>5.2351485019847965</v>
      </c>
    </row>
    <row r="61" spans="1:6" x14ac:dyDescent="0.2">
      <c r="A61">
        <v>394354</v>
      </c>
      <c r="B61">
        <v>19</v>
      </c>
      <c r="C61" t="s">
        <v>4</v>
      </c>
      <c r="D61">
        <v>1</v>
      </c>
      <c r="E61">
        <v>567</v>
      </c>
      <c r="F61" s="1">
        <v>4.971860552621993</v>
      </c>
    </row>
    <row r="62" spans="1:6" x14ac:dyDescent="0.2">
      <c r="A62">
        <v>395821</v>
      </c>
      <c r="B62">
        <v>20</v>
      </c>
      <c r="C62" t="s">
        <v>4</v>
      </c>
      <c r="D62">
        <v>1</v>
      </c>
      <c r="E62">
        <v>657</v>
      </c>
      <c r="F62" s="1">
        <v>5.4681151490789279</v>
      </c>
    </row>
    <row r="63" spans="1:6" x14ac:dyDescent="0.2">
      <c r="A63">
        <v>400751</v>
      </c>
      <c r="B63">
        <v>19</v>
      </c>
      <c r="C63" t="s">
        <v>4</v>
      </c>
      <c r="D63">
        <v>2</v>
      </c>
      <c r="E63">
        <v>610</v>
      </c>
      <c r="F63" s="1">
        <v>4.9766397442416741</v>
      </c>
    </row>
    <row r="64" spans="1:6" x14ac:dyDescent="0.2">
      <c r="A64">
        <v>403557</v>
      </c>
      <c r="B64">
        <v>18</v>
      </c>
      <c r="C64" t="s">
        <v>4</v>
      </c>
      <c r="D64">
        <v>1</v>
      </c>
      <c r="E64">
        <v>630</v>
      </c>
      <c r="F64" s="1">
        <v>5.3309558824146341</v>
      </c>
    </row>
    <row r="65" spans="1:6" x14ac:dyDescent="0.2">
      <c r="A65">
        <v>413931</v>
      </c>
      <c r="B65">
        <v>19</v>
      </c>
      <c r="C65" t="s">
        <v>4</v>
      </c>
      <c r="D65">
        <v>2</v>
      </c>
      <c r="E65">
        <v>675</v>
      </c>
      <c r="F65" s="1">
        <v>5.7812600417533977</v>
      </c>
    </row>
    <row r="66" spans="1:6" x14ac:dyDescent="0.2">
      <c r="A66">
        <v>417111</v>
      </c>
      <c r="C66" t="s">
        <v>4</v>
      </c>
      <c r="D66">
        <v>3</v>
      </c>
      <c r="E66">
        <v>627</v>
      </c>
      <c r="F66" s="1">
        <v>5.4492054911893986</v>
      </c>
    </row>
    <row r="67" spans="1:6" x14ac:dyDescent="0.2">
      <c r="A67">
        <v>434816</v>
      </c>
      <c r="C67" t="s">
        <v>4</v>
      </c>
      <c r="D67">
        <v>3</v>
      </c>
      <c r="E67">
        <v>665</v>
      </c>
      <c r="F67" s="1">
        <v>5.5009893945491619</v>
      </c>
    </row>
    <row r="68" spans="1:6" x14ac:dyDescent="0.2">
      <c r="A68">
        <v>435938</v>
      </c>
      <c r="B68">
        <v>18</v>
      </c>
      <c r="C68" t="s">
        <v>4</v>
      </c>
      <c r="D68">
        <v>1</v>
      </c>
      <c r="E68">
        <v>680</v>
      </c>
      <c r="F68" s="1">
        <v>4.9500525992051667</v>
      </c>
    </row>
    <row r="69" spans="1:6" x14ac:dyDescent="0.2">
      <c r="A69">
        <v>441656</v>
      </c>
      <c r="B69">
        <v>19</v>
      </c>
      <c r="C69" t="s">
        <v>4</v>
      </c>
      <c r="D69">
        <v>1</v>
      </c>
      <c r="E69">
        <v>610</v>
      </c>
      <c r="F69" s="1">
        <v>5.2522390358877091</v>
      </c>
    </row>
    <row r="70" spans="1:6" x14ac:dyDescent="0.2">
      <c r="A70">
        <v>443337</v>
      </c>
      <c r="B70">
        <v>19</v>
      </c>
      <c r="C70" t="s">
        <v>4</v>
      </c>
      <c r="D70">
        <v>2</v>
      </c>
      <c r="E70">
        <v>599</v>
      </c>
      <c r="F70" s="1">
        <v>4.8688616072624056</v>
      </c>
    </row>
    <row r="71" spans="1:6" x14ac:dyDescent="0.2">
      <c r="A71">
        <v>444197</v>
      </c>
      <c r="B71">
        <v>19</v>
      </c>
      <c r="C71" t="s">
        <v>4</v>
      </c>
      <c r="D71">
        <v>1</v>
      </c>
      <c r="E71">
        <v>655</v>
      </c>
      <c r="F71" s="1">
        <v>4.9976932027213126</v>
      </c>
    </row>
    <row r="72" spans="1:6" x14ac:dyDescent="0.2">
      <c r="A72">
        <v>450986</v>
      </c>
      <c r="B72">
        <v>18</v>
      </c>
      <c r="C72" t="s">
        <v>4</v>
      </c>
      <c r="D72">
        <v>1</v>
      </c>
      <c r="E72">
        <v>605</v>
      </c>
      <c r="F72" s="1">
        <v>4.6684350334457072</v>
      </c>
    </row>
    <row r="73" spans="1:6" x14ac:dyDescent="0.2">
      <c r="A73">
        <v>451837</v>
      </c>
      <c r="C73" t="s">
        <v>4</v>
      </c>
      <c r="D73">
        <v>3</v>
      </c>
      <c r="E73">
        <v>631</v>
      </c>
      <c r="F73" s="1">
        <v>5.5938525241002761</v>
      </c>
    </row>
    <row r="74" spans="1:6" x14ac:dyDescent="0.2">
      <c r="A74">
        <v>476432</v>
      </c>
      <c r="B74">
        <v>21</v>
      </c>
      <c r="C74" t="s">
        <v>4</v>
      </c>
      <c r="D74">
        <v>1</v>
      </c>
      <c r="E74">
        <v>575</v>
      </c>
      <c r="F74" s="1">
        <v>4.8225723436803776</v>
      </c>
    </row>
    <row r="75" spans="1:6" x14ac:dyDescent="0.2">
      <c r="A75">
        <v>478976</v>
      </c>
      <c r="B75">
        <v>20</v>
      </c>
      <c r="C75" t="s">
        <v>4</v>
      </c>
      <c r="D75">
        <v>1</v>
      </c>
      <c r="E75">
        <v>610</v>
      </c>
      <c r="F75" s="1">
        <v>5.4719806290503783</v>
      </c>
    </row>
    <row r="76" spans="1:6" x14ac:dyDescent="0.2">
      <c r="A76">
        <v>480823</v>
      </c>
      <c r="B76">
        <v>18</v>
      </c>
      <c r="C76" t="s">
        <v>4</v>
      </c>
      <c r="D76">
        <v>1</v>
      </c>
      <c r="E76">
        <v>650</v>
      </c>
      <c r="F76" s="1">
        <v>5.4964655952654589</v>
      </c>
    </row>
    <row r="77" spans="1:6" x14ac:dyDescent="0.2">
      <c r="A77">
        <v>490630</v>
      </c>
      <c r="B77">
        <v>19</v>
      </c>
      <c r="C77" t="s">
        <v>4</v>
      </c>
      <c r="D77">
        <v>1</v>
      </c>
      <c r="E77">
        <v>614</v>
      </c>
      <c r="F77" s="1">
        <v>5.166139807067462</v>
      </c>
    </row>
    <row r="78" spans="1:6" x14ac:dyDescent="0.2">
      <c r="A78">
        <v>491886</v>
      </c>
      <c r="B78">
        <v>29</v>
      </c>
      <c r="C78" t="s">
        <v>4</v>
      </c>
      <c r="D78">
        <v>2</v>
      </c>
      <c r="E78">
        <v>580</v>
      </c>
      <c r="F78" s="1">
        <v>4.3516841245261544</v>
      </c>
    </row>
    <row r="79" spans="1:6" x14ac:dyDescent="0.2">
      <c r="A79">
        <v>498001</v>
      </c>
      <c r="B79">
        <v>24</v>
      </c>
      <c r="C79" t="s">
        <v>4</v>
      </c>
      <c r="D79">
        <v>2</v>
      </c>
      <c r="E79">
        <v>585</v>
      </c>
      <c r="F79" s="1">
        <v>5.0785241664301886</v>
      </c>
    </row>
    <row r="80" spans="1:6" x14ac:dyDescent="0.2">
      <c r="A80">
        <v>502045</v>
      </c>
      <c r="B80">
        <v>19</v>
      </c>
      <c r="C80" t="s">
        <v>4</v>
      </c>
      <c r="D80">
        <v>2</v>
      </c>
      <c r="E80">
        <v>637</v>
      </c>
      <c r="F80" s="1">
        <v>5.3994449420512103</v>
      </c>
    </row>
    <row r="81" spans="1:6" x14ac:dyDescent="0.2">
      <c r="A81">
        <v>512172</v>
      </c>
      <c r="B81">
        <v>18</v>
      </c>
      <c r="C81" t="s">
        <v>4</v>
      </c>
      <c r="D81">
        <v>1</v>
      </c>
      <c r="E81">
        <v>582</v>
      </c>
      <c r="F81" s="1">
        <v>4.7388216725180206</v>
      </c>
    </row>
    <row r="82" spans="1:6" x14ac:dyDescent="0.2">
      <c r="A82">
        <v>513015</v>
      </c>
      <c r="B82">
        <v>18</v>
      </c>
      <c r="C82" t="s">
        <v>4</v>
      </c>
      <c r="D82">
        <v>2</v>
      </c>
      <c r="E82">
        <v>633</v>
      </c>
      <c r="F82" s="1">
        <v>5.7499212876069778</v>
      </c>
    </row>
    <row r="83" spans="1:6" x14ac:dyDescent="0.2">
      <c r="A83">
        <v>513015</v>
      </c>
      <c r="B83">
        <v>18</v>
      </c>
      <c r="C83" t="s">
        <v>4</v>
      </c>
      <c r="D83">
        <v>2</v>
      </c>
      <c r="E83">
        <v>698</v>
      </c>
      <c r="F83" s="1">
        <v>5.7499212876069778</v>
      </c>
    </row>
    <row r="84" spans="1:6" x14ac:dyDescent="0.2">
      <c r="A84">
        <v>520281</v>
      </c>
      <c r="B84">
        <v>18</v>
      </c>
      <c r="C84" t="s">
        <v>4</v>
      </c>
      <c r="D84">
        <v>2</v>
      </c>
      <c r="E84">
        <v>590</v>
      </c>
      <c r="F84" s="1">
        <v>4.1967569911643681</v>
      </c>
    </row>
    <row r="85" spans="1:6" x14ac:dyDescent="0.2">
      <c r="A85">
        <v>521420</v>
      </c>
      <c r="C85" t="s">
        <v>4</v>
      </c>
      <c r="D85">
        <v>3</v>
      </c>
      <c r="E85">
        <v>645</v>
      </c>
      <c r="F85" s="1">
        <v>5.5679636569504263</v>
      </c>
    </row>
    <row r="86" spans="1:6" x14ac:dyDescent="0.2">
      <c r="A86">
        <v>528127</v>
      </c>
      <c r="B86">
        <v>19</v>
      </c>
      <c r="C86" t="s">
        <v>4</v>
      </c>
      <c r="D86">
        <v>2</v>
      </c>
      <c r="E86">
        <v>630</v>
      </c>
      <c r="F86" s="1">
        <v>5.2816942277594237</v>
      </c>
    </row>
    <row r="87" spans="1:6" x14ac:dyDescent="0.2">
      <c r="A87">
        <v>545251</v>
      </c>
      <c r="B87">
        <v>19</v>
      </c>
      <c r="C87" t="s">
        <v>4</v>
      </c>
      <c r="D87">
        <v>1</v>
      </c>
      <c r="E87">
        <v>678</v>
      </c>
      <c r="F87" s="1">
        <v>5.573308534475764</v>
      </c>
    </row>
    <row r="88" spans="1:6" x14ac:dyDescent="0.2">
      <c r="A88">
        <v>560974</v>
      </c>
      <c r="B88">
        <v>21</v>
      </c>
      <c r="C88" t="s">
        <v>4</v>
      </c>
      <c r="D88">
        <v>2</v>
      </c>
      <c r="E88">
        <v>528</v>
      </c>
      <c r="F88" s="1">
        <v>4.1926872744930668</v>
      </c>
    </row>
    <row r="89" spans="1:6" x14ac:dyDescent="0.2">
      <c r="A89">
        <v>562452</v>
      </c>
      <c r="B89">
        <v>18</v>
      </c>
      <c r="C89" t="s">
        <v>4</v>
      </c>
      <c r="D89">
        <v>2</v>
      </c>
      <c r="E89">
        <v>610</v>
      </c>
      <c r="F89" s="1">
        <v>4.9087765708876692</v>
      </c>
    </row>
    <row r="90" spans="1:6" x14ac:dyDescent="0.2">
      <c r="A90">
        <v>565644</v>
      </c>
      <c r="B90">
        <v>19</v>
      </c>
      <c r="C90" t="s">
        <v>4</v>
      </c>
      <c r="D90">
        <v>2</v>
      </c>
      <c r="E90">
        <v>647</v>
      </c>
      <c r="F90" s="1">
        <v>5.6236009195505456</v>
      </c>
    </row>
    <row r="91" spans="1:6" x14ac:dyDescent="0.2">
      <c r="A91">
        <v>569305</v>
      </c>
      <c r="B91">
        <v>18</v>
      </c>
      <c r="C91" t="s">
        <v>4</v>
      </c>
      <c r="D91">
        <v>1</v>
      </c>
      <c r="E91">
        <v>682</v>
      </c>
      <c r="F91" s="1">
        <v>5.3841128088858534</v>
      </c>
    </row>
    <row r="92" spans="1:6" x14ac:dyDescent="0.2">
      <c r="A92">
        <v>572633</v>
      </c>
      <c r="B92">
        <v>18</v>
      </c>
      <c r="C92" t="s">
        <v>4</v>
      </c>
      <c r="D92">
        <v>2</v>
      </c>
      <c r="E92">
        <v>642</v>
      </c>
      <c r="F92" s="1">
        <v>4.8061118735755839</v>
      </c>
    </row>
    <row r="93" spans="1:6" x14ac:dyDescent="0.2">
      <c r="A93">
        <v>574428</v>
      </c>
      <c r="B93">
        <v>18</v>
      </c>
      <c r="C93" t="s">
        <v>4</v>
      </c>
      <c r="D93">
        <v>2</v>
      </c>
      <c r="E93">
        <v>675</v>
      </c>
      <c r="F93" s="1">
        <v>5.4813182573923136</v>
      </c>
    </row>
    <row r="94" spans="1:6" x14ac:dyDescent="0.2">
      <c r="A94">
        <v>575303</v>
      </c>
      <c r="B94">
        <v>18</v>
      </c>
      <c r="C94" t="s">
        <v>4</v>
      </c>
      <c r="D94">
        <v>2</v>
      </c>
      <c r="E94">
        <v>585</v>
      </c>
      <c r="F94" s="1">
        <v>4.8156258430908938</v>
      </c>
    </row>
    <row r="95" spans="1:6" x14ac:dyDescent="0.2">
      <c r="A95">
        <v>578064</v>
      </c>
      <c r="B95">
        <v>32</v>
      </c>
      <c r="C95" t="s">
        <v>4</v>
      </c>
      <c r="D95">
        <v>1</v>
      </c>
      <c r="E95">
        <v>553</v>
      </c>
      <c r="F95" s="1">
        <v>4.9830846609963775</v>
      </c>
    </row>
    <row r="96" spans="1:6" x14ac:dyDescent="0.2">
      <c r="A96">
        <v>590736</v>
      </c>
      <c r="B96">
        <v>18</v>
      </c>
      <c r="C96" t="s">
        <v>4</v>
      </c>
      <c r="D96">
        <v>1</v>
      </c>
      <c r="E96">
        <v>662</v>
      </c>
      <c r="F96" s="1">
        <v>5.0740156410220774</v>
      </c>
    </row>
    <row r="97" spans="1:6" x14ac:dyDescent="0.2">
      <c r="A97">
        <v>593454</v>
      </c>
      <c r="B97">
        <v>19</v>
      </c>
      <c r="C97" t="s">
        <v>4</v>
      </c>
      <c r="D97">
        <v>2</v>
      </c>
      <c r="E97">
        <v>675</v>
      </c>
      <c r="F97" s="1">
        <v>5.5669625048765941</v>
      </c>
    </row>
    <row r="98" spans="1:6" x14ac:dyDescent="0.2">
      <c r="A98">
        <v>602044</v>
      </c>
      <c r="B98">
        <v>17</v>
      </c>
      <c r="C98" t="s">
        <v>4</v>
      </c>
      <c r="D98">
        <v>1</v>
      </c>
      <c r="E98">
        <v>675</v>
      </c>
      <c r="F98" s="1">
        <v>5.7085123834635869</v>
      </c>
    </row>
    <row r="99" spans="1:6" x14ac:dyDescent="0.2">
      <c r="A99">
        <v>602808</v>
      </c>
      <c r="B99">
        <v>20</v>
      </c>
      <c r="C99" t="s">
        <v>4</v>
      </c>
      <c r="D99">
        <v>2</v>
      </c>
      <c r="E99">
        <v>545</v>
      </c>
      <c r="F99" s="1">
        <v>4.9250990867969078</v>
      </c>
    </row>
    <row r="100" spans="1:6" x14ac:dyDescent="0.2">
      <c r="A100">
        <v>606679</v>
      </c>
      <c r="B100">
        <v>19</v>
      </c>
      <c r="C100" t="s">
        <v>4</v>
      </c>
      <c r="D100">
        <v>1</v>
      </c>
      <c r="E100">
        <v>627</v>
      </c>
      <c r="F100" s="1">
        <v>5.2198725862251329</v>
      </c>
    </row>
    <row r="101" spans="1:6" x14ac:dyDescent="0.2">
      <c r="A101">
        <v>610650</v>
      </c>
      <c r="B101">
        <v>18</v>
      </c>
      <c r="C101" t="s">
        <v>4</v>
      </c>
      <c r="D101">
        <v>1</v>
      </c>
      <c r="E101">
        <v>629</v>
      </c>
      <c r="F101" s="1">
        <v>5.1002786887903149</v>
      </c>
    </row>
    <row r="102" spans="1:6" x14ac:dyDescent="0.2">
      <c r="A102">
        <v>613713</v>
      </c>
      <c r="B102">
        <v>18</v>
      </c>
      <c r="C102" t="s">
        <v>4</v>
      </c>
      <c r="D102">
        <v>2</v>
      </c>
      <c r="E102">
        <v>670</v>
      </c>
      <c r="F102" s="1">
        <v>5.129325307416968</v>
      </c>
    </row>
    <row r="103" spans="1:6" x14ac:dyDescent="0.2">
      <c r="A103">
        <v>617623</v>
      </c>
      <c r="B103">
        <v>24</v>
      </c>
      <c r="C103" t="s">
        <v>4</v>
      </c>
      <c r="D103">
        <v>2</v>
      </c>
      <c r="E103">
        <v>629</v>
      </c>
      <c r="F103" s="1">
        <v>5.1180026426579888</v>
      </c>
    </row>
    <row r="104" spans="1:6" x14ac:dyDescent="0.2">
      <c r="A104">
        <v>621018</v>
      </c>
      <c r="B104">
        <v>20</v>
      </c>
      <c r="C104" t="s">
        <v>4</v>
      </c>
      <c r="D104">
        <v>2</v>
      </c>
      <c r="E104">
        <v>625</v>
      </c>
      <c r="F104" s="1">
        <v>4.808254249705822</v>
      </c>
    </row>
    <row r="105" spans="1:6" x14ac:dyDescent="0.2">
      <c r="A105">
        <v>623446</v>
      </c>
      <c r="B105">
        <v>36</v>
      </c>
      <c r="C105" t="s">
        <v>4</v>
      </c>
      <c r="D105">
        <v>2</v>
      </c>
      <c r="E105">
        <v>575</v>
      </c>
      <c r="F105" s="1">
        <v>4.8646704074010954</v>
      </c>
    </row>
    <row r="106" spans="1:6" x14ac:dyDescent="0.2">
      <c r="A106">
        <v>645132</v>
      </c>
      <c r="B106">
        <v>19</v>
      </c>
      <c r="C106" t="s">
        <v>4</v>
      </c>
      <c r="D106">
        <v>2</v>
      </c>
      <c r="E106">
        <v>582</v>
      </c>
      <c r="F106" s="1"/>
    </row>
    <row r="107" spans="1:6" x14ac:dyDescent="0.2">
      <c r="A107">
        <v>650916</v>
      </c>
      <c r="B107">
        <v>19</v>
      </c>
      <c r="C107" t="s">
        <v>4</v>
      </c>
      <c r="D107">
        <v>1</v>
      </c>
      <c r="E107">
        <v>620</v>
      </c>
      <c r="F107" s="1">
        <v>5.3104687844378642</v>
      </c>
    </row>
    <row r="108" spans="1:6" x14ac:dyDescent="0.2">
      <c r="A108">
        <v>653397</v>
      </c>
      <c r="B108">
        <v>19</v>
      </c>
      <c r="C108" t="s">
        <v>4</v>
      </c>
      <c r="D108">
        <v>2</v>
      </c>
      <c r="E108">
        <v>620</v>
      </c>
      <c r="F108" s="1">
        <v>4.8786968981570231</v>
      </c>
    </row>
    <row r="109" spans="1:6" x14ac:dyDescent="0.2">
      <c r="A109">
        <v>654094</v>
      </c>
      <c r="B109">
        <v>21</v>
      </c>
      <c r="C109" t="s">
        <v>4</v>
      </c>
      <c r="D109">
        <v>2</v>
      </c>
      <c r="E109">
        <v>562</v>
      </c>
      <c r="F109" s="1">
        <v>4.2859445912701437</v>
      </c>
    </row>
    <row r="110" spans="1:6" x14ac:dyDescent="0.2">
      <c r="A110">
        <v>656210</v>
      </c>
      <c r="B110">
        <v>19</v>
      </c>
      <c r="C110" t="s">
        <v>4</v>
      </c>
      <c r="D110">
        <v>2</v>
      </c>
      <c r="E110">
        <v>605</v>
      </c>
      <c r="F110" s="1">
        <v>5.2396419098088511</v>
      </c>
    </row>
    <row r="111" spans="1:6" x14ac:dyDescent="0.2">
      <c r="A111">
        <v>662277</v>
      </c>
      <c r="B111">
        <v>19</v>
      </c>
      <c r="C111" t="s">
        <v>4</v>
      </c>
      <c r="D111">
        <v>2</v>
      </c>
      <c r="E111">
        <v>640</v>
      </c>
      <c r="F111" s="1">
        <v>5.4136898158420061</v>
      </c>
    </row>
    <row r="112" spans="1:6" x14ac:dyDescent="0.2">
      <c r="A112">
        <v>663451</v>
      </c>
      <c r="B112">
        <v>18</v>
      </c>
      <c r="C112" t="s">
        <v>4</v>
      </c>
      <c r="D112">
        <v>2</v>
      </c>
      <c r="E112">
        <v>615</v>
      </c>
      <c r="F112" s="1">
        <v>5.2606822950870669</v>
      </c>
    </row>
    <row r="113" spans="1:6" x14ac:dyDescent="0.2">
      <c r="A113">
        <v>665000</v>
      </c>
      <c r="B113">
        <v>18</v>
      </c>
      <c r="C113" t="s">
        <v>4</v>
      </c>
      <c r="D113">
        <v>1</v>
      </c>
      <c r="E113">
        <v>635</v>
      </c>
      <c r="F113" s="1">
        <v>4.900465699928553</v>
      </c>
    </row>
    <row r="114" spans="1:6" x14ac:dyDescent="0.2">
      <c r="A114">
        <v>668035</v>
      </c>
      <c r="B114">
        <v>25</v>
      </c>
      <c r="C114" t="s">
        <v>4</v>
      </c>
      <c r="D114">
        <v>1</v>
      </c>
      <c r="E114">
        <v>610</v>
      </c>
      <c r="F114" s="1">
        <v>5.1166153953094762</v>
      </c>
    </row>
    <row r="115" spans="1:6" x14ac:dyDescent="0.2">
      <c r="A115">
        <v>683770</v>
      </c>
      <c r="B115">
        <v>19</v>
      </c>
      <c r="C115" t="s">
        <v>4</v>
      </c>
      <c r="D115">
        <v>2</v>
      </c>
      <c r="E115">
        <v>540</v>
      </c>
      <c r="F115" s="1">
        <v>4.6117757373721933</v>
      </c>
    </row>
    <row r="116" spans="1:6" x14ac:dyDescent="0.2">
      <c r="A116">
        <v>687082</v>
      </c>
      <c r="B116">
        <v>18</v>
      </c>
      <c r="C116" t="s">
        <v>4</v>
      </c>
      <c r="D116">
        <v>2</v>
      </c>
      <c r="E116">
        <v>632</v>
      </c>
      <c r="F116" s="1">
        <v>5.1766386974447993</v>
      </c>
    </row>
    <row r="117" spans="1:6" x14ac:dyDescent="0.2">
      <c r="A117">
        <v>711058</v>
      </c>
      <c r="B117">
        <v>24</v>
      </c>
      <c r="C117" t="s">
        <v>4</v>
      </c>
      <c r="D117">
        <v>2</v>
      </c>
      <c r="E117">
        <v>560</v>
      </c>
      <c r="F117" s="1">
        <v>5.1455701988697182</v>
      </c>
    </row>
    <row r="118" spans="1:6" x14ac:dyDescent="0.2">
      <c r="A118">
        <v>727450</v>
      </c>
      <c r="B118">
        <v>21</v>
      </c>
      <c r="C118" t="s">
        <v>4</v>
      </c>
      <c r="D118">
        <v>2</v>
      </c>
      <c r="E118">
        <v>540</v>
      </c>
      <c r="F118" s="1">
        <v>4.6270253876887706</v>
      </c>
    </row>
    <row r="119" spans="1:6" x14ac:dyDescent="0.2">
      <c r="A119">
        <v>728059</v>
      </c>
      <c r="B119">
        <v>20</v>
      </c>
      <c r="C119" t="s">
        <v>4</v>
      </c>
      <c r="D119">
        <v>2</v>
      </c>
      <c r="E119">
        <v>593</v>
      </c>
      <c r="F119" s="1">
        <v>5.0059196173339977</v>
      </c>
    </row>
    <row r="120" spans="1:6" x14ac:dyDescent="0.2">
      <c r="A120">
        <v>734605</v>
      </c>
      <c r="B120">
        <v>19</v>
      </c>
      <c r="C120" t="s">
        <v>4</v>
      </c>
      <c r="D120">
        <v>2</v>
      </c>
      <c r="E120">
        <v>602</v>
      </c>
      <c r="F120" s="1">
        <v>4.8856277614973624</v>
      </c>
    </row>
    <row r="121" spans="1:6" x14ac:dyDescent="0.2">
      <c r="A121">
        <v>743716</v>
      </c>
      <c r="B121">
        <v>18</v>
      </c>
      <c r="C121" t="s">
        <v>4</v>
      </c>
      <c r="D121">
        <v>2</v>
      </c>
      <c r="E121">
        <v>630</v>
      </c>
      <c r="F121" s="1">
        <v>5.1520233322548208</v>
      </c>
    </row>
    <row r="122" spans="1:6" x14ac:dyDescent="0.2">
      <c r="A122">
        <v>746398</v>
      </c>
      <c r="B122">
        <v>19</v>
      </c>
      <c r="C122" t="s">
        <v>4</v>
      </c>
      <c r="D122">
        <v>2</v>
      </c>
      <c r="E122">
        <v>643</v>
      </c>
      <c r="F122" s="1">
        <v>5.7862376104635258</v>
      </c>
    </row>
    <row r="123" spans="1:6" x14ac:dyDescent="0.2">
      <c r="A123">
        <v>747557</v>
      </c>
      <c r="B123">
        <v>18</v>
      </c>
      <c r="C123" t="s">
        <v>4</v>
      </c>
      <c r="D123">
        <v>1</v>
      </c>
      <c r="E123">
        <v>632</v>
      </c>
      <c r="F123" s="1">
        <v>5.6273648563881595</v>
      </c>
    </row>
    <row r="124" spans="1:6" x14ac:dyDescent="0.2">
      <c r="A124">
        <v>750513</v>
      </c>
      <c r="B124">
        <v>18</v>
      </c>
      <c r="C124" t="s">
        <v>4</v>
      </c>
      <c r="D124">
        <v>2</v>
      </c>
      <c r="E124">
        <v>662</v>
      </c>
      <c r="F124" s="1">
        <v>5.4087771914495226</v>
      </c>
    </row>
    <row r="125" spans="1:6" x14ac:dyDescent="0.2">
      <c r="A125">
        <v>752474</v>
      </c>
      <c r="B125">
        <v>18</v>
      </c>
      <c r="C125" t="s">
        <v>4</v>
      </c>
      <c r="D125">
        <v>2</v>
      </c>
      <c r="E125">
        <v>610</v>
      </c>
      <c r="F125" s="1">
        <v>5.2965594864102528</v>
      </c>
    </row>
    <row r="126" spans="1:6" x14ac:dyDescent="0.2">
      <c r="A126">
        <v>757489</v>
      </c>
      <c r="B126">
        <v>20</v>
      </c>
      <c r="C126" t="s">
        <v>4</v>
      </c>
      <c r="D126">
        <v>1</v>
      </c>
      <c r="E126">
        <v>580</v>
      </c>
      <c r="F126" s="1">
        <v>5.3557399232141822</v>
      </c>
    </row>
    <row r="127" spans="1:6" x14ac:dyDescent="0.2">
      <c r="A127">
        <v>767469</v>
      </c>
      <c r="B127">
        <v>18</v>
      </c>
      <c r="C127" t="s">
        <v>4</v>
      </c>
      <c r="D127">
        <v>2</v>
      </c>
      <c r="E127">
        <v>630</v>
      </c>
      <c r="F127" s="1">
        <v>4.5175666601126601</v>
      </c>
    </row>
    <row r="128" spans="1:6" x14ac:dyDescent="0.2">
      <c r="A128">
        <v>773637</v>
      </c>
      <c r="B128">
        <v>19</v>
      </c>
      <c r="C128" t="s">
        <v>4</v>
      </c>
      <c r="D128">
        <v>1</v>
      </c>
      <c r="E128">
        <v>570</v>
      </c>
      <c r="F128" s="1">
        <v>4.6722712005554774</v>
      </c>
    </row>
    <row r="129" spans="1:6" x14ac:dyDescent="0.2">
      <c r="A129">
        <v>774857</v>
      </c>
      <c r="B129">
        <v>18</v>
      </c>
      <c r="C129" t="s">
        <v>4</v>
      </c>
      <c r="D129">
        <v>2</v>
      </c>
      <c r="E129">
        <v>630</v>
      </c>
      <c r="F129" s="1">
        <v>5.0490904312129326</v>
      </c>
    </row>
    <row r="130" spans="1:6" x14ac:dyDescent="0.2">
      <c r="A130">
        <v>776423</v>
      </c>
      <c r="B130">
        <v>21</v>
      </c>
      <c r="C130" t="s">
        <v>4</v>
      </c>
      <c r="D130">
        <v>1</v>
      </c>
      <c r="E130">
        <v>540</v>
      </c>
      <c r="F130" s="1">
        <v>5.0557551161765621</v>
      </c>
    </row>
    <row r="131" spans="1:6" x14ac:dyDescent="0.2">
      <c r="A131">
        <v>782355</v>
      </c>
      <c r="B131">
        <v>18</v>
      </c>
      <c r="C131" t="s">
        <v>4</v>
      </c>
      <c r="D131">
        <v>2</v>
      </c>
      <c r="E131">
        <v>600</v>
      </c>
      <c r="F131" s="1">
        <v>5.1565519686279524</v>
      </c>
    </row>
    <row r="132" spans="1:6" x14ac:dyDescent="0.2">
      <c r="A132">
        <v>786915</v>
      </c>
      <c r="B132">
        <v>18</v>
      </c>
      <c r="C132" t="s">
        <v>4</v>
      </c>
      <c r="D132">
        <v>2</v>
      </c>
      <c r="E132">
        <v>575</v>
      </c>
      <c r="F132" s="1">
        <v>4.6510682602497715</v>
      </c>
    </row>
    <row r="133" spans="1:6" x14ac:dyDescent="0.2">
      <c r="A133">
        <v>792876</v>
      </c>
      <c r="B133">
        <v>18</v>
      </c>
      <c r="C133" t="s">
        <v>4</v>
      </c>
      <c r="D133">
        <v>1</v>
      </c>
      <c r="E133">
        <v>655</v>
      </c>
      <c r="F133" s="1">
        <v>5.0693722966383241</v>
      </c>
    </row>
    <row r="134" spans="1:6" x14ac:dyDescent="0.2">
      <c r="A134">
        <v>820831</v>
      </c>
      <c r="B134">
        <v>26</v>
      </c>
      <c r="C134" t="s">
        <v>4</v>
      </c>
      <c r="D134">
        <v>2</v>
      </c>
      <c r="E134">
        <v>582</v>
      </c>
      <c r="F134" s="1">
        <v>4.6022981400619667</v>
      </c>
    </row>
    <row r="135" spans="1:6" x14ac:dyDescent="0.2">
      <c r="A135">
        <v>820831</v>
      </c>
      <c r="B135">
        <v>26</v>
      </c>
      <c r="C135" t="s">
        <v>4</v>
      </c>
      <c r="D135">
        <v>2</v>
      </c>
      <c r="E135">
        <v>582</v>
      </c>
      <c r="F135" s="1">
        <v>4.6022981400619667</v>
      </c>
    </row>
    <row r="136" spans="1:6" x14ac:dyDescent="0.2">
      <c r="A136">
        <v>830172</v>
      </c>
      <c r="B136">
        <v>20</v>
      </c>
      <c r="C136" t="s">
        <v>4</v>
      </c>
      <c r="D136">
        <v>2</v>
      </c>
      <c r="E136">
        <v>610</v>
      </c>
      <c r="F136" s="1">
        <v>5.1951067815496454</v>
      </c>
    </row>
    <row r="137" spans="1:6" x14ac:dyDescent="0.2">
      <c r="A137">
        <v>840344</v>
      </c>
      <c r="B137">
        <v>19</v>
      </c>
      <c r="C137" t="s">
        <v>4</v>
      </c>
      <c r="D137">
        <v>2</v>
      </c>
      <c r="E137">
        <v>652</v>
      </c>
      <c r="F137" s="1">
        <v>5.2972499937292046</v>
      </c>
    </row>
    <row r="138" spans="1:6" x14ac:dyDescent="0.2">
      <c r="A138">
        <v>852078</v>
      </c>
      <c r="B138">
        <v>20</v>
      </c>
      <c r="C138" t="s">
        <v>4</v>
      </c>
      <c r="D138">
        <v>1</v>
      </c>
      <c r="E138">
        <v>565</v>
      </c>
      <c r="F138" s="1">
        <v>5.1041165659783605</v>
      </c>
    </row>
    <row r="139" spans="1:6" x14ac:dyDescent="0.2">
      <c r="A139">
        <v>852078</v>
      </c>
      <c r="B139">
        <v>20</v>
      </c>
      <c r="C139" t="s">
        <v>4</v>
      </c>
      <c r="D139">
        <v>1</v>
      </c>
      <c r="E139">
        <v>565</v>
      </c>
      <c r="F139" s="1">
        <v>5.1041165659783605</v>
      </c>
    </row>
    <row r="140" spans="1:6" x14ac:dyDescent="0.2">
      <c r="A140">
        <v>852990</v>
      </c>
      <c r="B140">
        <v>18</v>
      </c>
      <c r="C140" t="s">
        <v>4</v>
      </c>
      <c r="D140">
        <v>2</v>
      </c>
      <c r="E140">
        <v>580</v>
      </c>
      <c r="F140" s="1">
        <v>4.6866964040815597</v>
      </c>
    </row>
    <row r="141" spans="1:6" x14ac:dyDescent="0.2">
      <c r="A141">
        <v>853250</v>
      </c>
      <c r="B141">
        <v>19</v>
      </c>
      <c r="C141" t="s">
        <v>4</v>
      </c>
      <c r="D141">
        <v>2</v>
      </c>
      <c r="E141">
        <v>635</v>
      </c>
      <c r="F141" s="1">
        <v>5.1812396875611606</v>
      </c>
    </row>
    <row r="142" spans="1:6" x14ac:dyDescent="0.2">
      <c r="A142">
        <v>854950</v>
      </c>
      <c r="B142">
        <v>20</v>
      </c>
      <c r="C142" t="s">
        <v>4</v>
      </c>
      <c r="D142">
        <v>1</v>
      </c>
      <c r="E142">
        <v>610</v>
      </c>
      <c r="F142" s="1">
        <v>5.3725353338152599</v>
      </c>
    </row>
    <row r="143" spans="1:6" x14ac:dyDescent="0.2">
      <c r="A143">
        <v>860564</v>
      </c>
      <c r="B143">
        <v>18</v>
      </c>
      <c r="C143" t="s">
        <v>4</v>
      </c>
      <c r="D143">
        <v>2</v>
      </c>
      <c r="E143">
        <v>580</v>
      </c>
      <c r="F143" s="1">
        <v>5.0228552741683101</v>
      </c>
    </row>
    <row r="144" spans="1:6" x14ac:dyDescent="0.2">
      <c r="A144">
        <v>861843</v>
      </c>
      <c r="B144">
        <v>18</v>
      </c>
      <c r="C144" t="s">
        <v>4</v>
      </c>
      <c r="D144">
        <v>2</v>
      </c>
      <c r="E144">
        <v>677</v>
      </c>
      <c r="F144" s="1">
        <v>5.7858572043962271</v>
      </c>
    </row>
    <row r="145" spans="1:6" x14ac:dyDescent="0.2">
      <c r="A145">
        <v>866523</v>
      </c>
      <c r="B145">
        <v>21</v>
      </c>
      <c r="C145" t="s">
        <v>4</v>
      </c>
      <c r="D145">
        <v>2</v>
      </c>
      <c r="E145">
        <v>613</v>
      </c>
      <c r="F145" s="1">
        <v>5.1012104361594526</v>
      </c>
    </row>
    <row r="146" spans="1:6" x14ac:dyDescent="0.2">
      <c r="A146">
        <v>868857</v>
      </c>
      <c r="B146">
        <v>19</v>
      </c>
      <c r="C146" t="s">
        <v>4</v>
      </c>
      <c r="D146">
        <v>1</v>
      </c>
      <c r="E146">
        <v>555</v>
      </c>
      <c r="F146" s="1">
        <v>4.6019953030581835</v>
      </c>
    </row>
    <row r="147" spans="1:6" x14ac:dyDescent="0.2">
      <c r="A147">
        <v>870165</v>
      </c>
      <c r="B147">
        <v>19</v>
      </c>
      <c r="C147" t="s">
        <v>4</v>
      </c>
      <c r="D147">
        <v>1</v>
      </c>
      <c r="E147">
        <v>614</v>
      </c>
      <c r="F147" s="1">
        <v>5.1141901394860678</v>
      </c>
    </row>
    <row r="148" spans="1:6" x14ac:dyDescent="0.2">
      <c r="A148">
        <v>876721</v>
      </c>
      <c r="B148">
        <v>18</v>
      </c>
      <c r="C148" t="s">
        <v>4</v>
      </c>
      <c r="D148">
        <v>2</v>
      </c>
      <c r="E148">
        <v>634</v>
      </c>
      <c r="F148" s="1">
        <v>4.7441421576006872</v>
      </c>
    </row>
    <row r="149" spans="1:6" x14ac:dyDescent="0.2">
      <c r="A149">
        <v>880990</v>
      </c>
      <c r="B149">
        <v>18</v>
      </c>
      <c r="C149" t="s">
        <v>4</v>
      </c>
      <c r="D149">
        <v>2</v>
      </c>
      <c r="E149">
        <v>627</v>
      </c>
      <c r="F149" s="1">
        <v>5.3896353058505673</v>
      </c>
    </row>
    <row r="150" spans="1:6" x14ac:dyDescent="0.2">
      <c r="A150">
        <v>882704</v>
      </c>
      <c r="B150">
        <v>19</v>
      </c>
      <c r="C150" t="s">
        <v>4</v>
      </c>
      <c r="D150">
        <v>2</v>
      </c>
      <c r="E150">
        <v>632</v>
      </c>
      <c r="F150" s="1">
        <v>5.6302740709866033</v>
      </c>
    </row>
    <row r="151" spans="1:6" x14ac:dyDescent="0.2">
      <c r="A151">
        <v>883535</v>
      </c>
      <c r="B151">
        <v>20</v>
      </c>
      <c r="C151" t="s">
        <v>4</v>
      </c>
      <c r="D151">
        <v>1</v>
      </c>
      <c r="E151">
        <v>515</v>
      </c>
      <c r="F151" s="1">
        <v>4.1527408361475953</v>
      </c>
    </row>
    <row r="152" spans="1:6" x14ac:dyDescent="0.2">
      <c r="A152">
        <v>898024</v>
      </c>
      <c r="B152">
        <v>19</v>
      </c>
      <c r="C152" t="s">
        <v>4</v>
      </c>
      <c r="D152">
        <v>2</v>
      </c>
      <c r="E152">
        <v>590</v>
      </c>
      <c r="F152" s="1">
        <v>4.9584530970390714</v>
      </c>
    </row>
    <row r="153" spans="1:6" x14ac:dyDescent="0.2">
      <c r="A153">
        <v>917270</v>
      </c>
      <c r="B153">
        <v>18</v>
      </c>
      <c r="C153" t="s">
        <v>4</v>
      </c>
      <c r="D153">
        <v>2</v>
      </c>
      <c r="E153">
        <v>634</v>
      </c>
      <c r="F153" s="1">
        <v>5.3469640580381634</v>
      </c>
    </row>
    <row r="154" spans="1:6" x14ac:dyDescent="0.2">
      <c r="A154">
        <v>919197</v>
      </c>
      <c r="B154">
        <v>19</v>
      </c>
      <c r="C154" t="s">
        <v>4</v>
      </c>
      <c r="D154">
        <v>2</v>
      </c>
      <c r="E154">
        <v>643</v>
      </c>
      <c r="F154" s="1">
        <v>5.2784897661277093</v>
      </c>
    </row>
    <row r="155" spans="1:6" x14ac:dyDescent="0.2">
      <c r="A155">
        <v>926239</v>
      </c>
      <c r="B155">
        <v>18</v>
      </c>
      <c r="C155" t="s">
        <v>4</v>
      </c>
      <c r="D155">
        <v>2</v>
      </c>
      <c r="E155">
        <v>608</v>
      </c>
      <c r="F155" s="1">
        <v>5.2693004035446087</v>
      </c>
    </row>
    <row r="156" spans="1:6" x14ac:dyDescent="0.2">
      <c r="A156">
        <v>946087</v>
      </c>
      <c r="B156">
        <v>20</v>
      </c>
      <c r="C156" t="s">
        <v>4</v>
      </c>
      <c r="D156">
        <v>2</v>
      </c>
      <c r="E156">
        <v>544</v>
      </c>
      <c r="F156" s="1">
        <v>4.4864479399285768</v>
      </c>
    </row>
    <row r="157" spans="1:6" x14ac:dyDescent="0.2">
      <c r="A157">
        <v>954284</v>
      </c>
      <c r="B157">
        <v>21</v>
      </c>
      <c r="C157" t="s">
        <v>4</v>
      </c>
      <c r="D157">
        <v>2</v>
      </c>
      <c r="E157">
        <v>587</v>
      </c>
      <c r="F157" s="1">
        <v>4.7687531642294632</v>
      </c>
    </row>
    <row r="158" spans="1:6" x14ac:dyDescent="0.2">
      <c r="A158">
        <v>955436</v>
      </c>
      <c r="B158">
        <v>18</v>
      </c>
      <c r="C158" t="s">
        <v>4</v>
      </c>
      <c r="D158">
        <v>1</v>
      </c>
      <c r="E158">
        <v>670</v>
      </c>
      <c r="F158" s="1">
        <v>5.0963189072385591</v>
      </c>
    </row>
    <row r="159" spans="1:6" x14ac:dyDescent="0.2">
      <c r="A159">
        <v>956895</v>
      </c>
      <c r="B159">
        <v>18</v>
      </c>
      <c r="C159" t="s">
        <v>4</v>
      </c>
      <c r="D159">
        <v>2</v>
      </c>
      <c r="E159">
        <v>530</v>
      </c>
      <c r="F159" s="1">
        <v>4.4828665412619833</v>
      </c>
    </row>
    <row r="160" spans="1:6" x14ac:dyDescent="0.2">
      <c r="A160">
        <v>958276</v>
      </c>
      <c r="B160">
        <v>19</v>
      </c>
      <c r="C160" t="s">
        <v>4</v>
      </c>
      <c r="D160">
        <v>1</v>
      </c>
      <c r="E160">
        <v>560</v>
      </c>
      <c r="F160" s="1">
        <v>4.6685931352784618</v>
      </c>
    </row>
    <row r="161" spans="1:6" x14ac:dyDescent="0.2">
      <c r="A161">
        <v>958551</v>
      </c>
      <c r="C161" t="s">
        <v>4</v>
      </c>
      <c r="D161">
        <v>3</v>
      </c>
      <c r="E161">
        <v>655</v>
      </c>
      <c r="F161" s="1">
        <v>5.3379273416092454</v>
      </c>
    </row>
    <row r="162" spans="1:6" x14ac:dyDescent="0.2">
      <c r="A162">
        <v>969037</v>
      </c>
      <c r="C162" t="s">
        <v>4</v>
      </c>
      <c r="D162">
        <v>3</v>
      </c>
      <c r="E162">
        <v>599</v>
      </c>
      <c r="F162" s="1">
        <v>5.4012164623094048</v>
      </c>
    </row>
    <row r="163" spans="1:6" x14ac:dyDescent="0.2">
      <c r="A163">
        <v>969130</v>
      </c>
      <c r="B163">
        <v>18</v>
      </c>
      <c r="C163" t="s">
        <v>4</v>
      </c>
      <c r="D163">
        <v>2</v>
      </c>
      <c r="E163">
        <v>600</v>
      </c>
      <c r="F163" s="1">
        <v>5.0430123640121796</v>
      </c>
    </row>
    <row r="164" spans="1:6" x14ac:dyDescent="0.2">
      <c r="A164">
        <v>972245</v>
      </c>
      <c r="B164">
        <v>20</v>
      </c>
      <c r="C164" t="s">
        <v>4</v>
      </c>
      <c r="D164">
        <v>2</v>
      </c>
      <c r="E164">
        <v>600</v>
      </c>
      <c r="F164" s="1">
        <v>4.797583862430792</v>
      </c>
    </row>
    <row r="165" spans="1:6" x14ac:dyDescent="0.2">
      <c r="A165">
        <v>974308</v>
      </c>
      <c r="B165">
        <v>21</v>
      </c>
      <c r="C165" t="s">
        <v>4</v>
      </c>
      <c r="D165">
        <v>2</v>
      </c>
      <c r="E165">
        <v>580</v>
      </c>
      <c r="F165" s="1">
        <v>5.0547137401074114</v>
      </c>
    </row>
    <row r="166" spans="1:6" x14ac:dyDescent="0.2">
      <c r="A166">
        <v>976741</v>
      </c>
      <c r="B166">
        <v>18</v>
      </c>
      <c r="C166" t="s">
        <v>4</v>
      </c>
      <c r="D166">
        <v>2</v>
      </c>
      <c r="E166">
        <v>592</v>
      </c>
      <c r="F166" s="1">
        <v>5.0791865983169062</v>
      </c>
    </row>
    <row r="167" spans="1:6" x14ac:dyDescent="0.2">
      <c r="A167">
        <v>978455</v>
      </c>
      <c r="B167">
        <v>18</v>
      </c>
      <c r="C167" t="s">
        <v>4</v>
      </c>
      <c r="D167">
        <v>2</v>
      </c>
      <c r="E167">
        <v>662</v>
      </c>
      <c r="F167" s="1">
        <v>5.662527251554617</v>
      </c>
    </row>
    <row r="168" spans="1:6" x14ac:dyDescent="0.2">
      <c r="A168">
        <v>983562</v>
      </c>
      <c r="B168">
        <v>32</v>
      </c>
      <c r="C168" t="s">
        <v>4</v>
      </c>
      <c r="D168">
        <v>2</v>
      </c>
      <c r="E168">
        <v>560</v>
      </c>
      <c r="F168" s="1">
        <v>5.1873448135560967</v>
      </c>
    </row>
    <row r="169" spans="1:6" x14ac:dyDescent="0.2">
      <c r="A169">
        <v>983771</v>
      </c>
      <c r="B169">
        <v>18</v>
      </c>
      <c r="C169" t="s">
        <v>4</v>
      </c>
      <c r="D169">
        <v>2</v>
      </c>
      <c r="E169">
        <v>670</v>
      </c>
      <c r="F169" s="1">
        <v>5.6316614970613958</v>
      </c>
    </row>
    <row r="170" spans="1:6" x14ac:dyDescent="0.2">
      <c r="A170">
        <v>989789</v>
      </c>
      <c r="B170">
        <v>19</v>
      </c>
      <c r="C170" t="s">
        <v>4</v>
      </c>
      <c r="D170">
        <v>1</v>
      </c>
      <c r="E170">
        <v>643</v>
      </c>
      <c r="F170" s="1">
        <v>4.9849409089593628</v>
      </c>
    </row>
    <row r="171" spans="1:6" x14ac:dyDescent="0.2">
      <c r="A171">
        <v>994351</v>
      </c>
      <c r="B171">
        <v>19</v>
      </c>
      <c r="C171" t="s">
        <v>4</v>
      </c>
      <c r="D171">
        <v>1</v>
      </c>
      <c r="E171">
        <v>675</v>
      </c>
      <c r="F171" s="1"/>
    </row>
    <row r="172" spans="1:6" x14ac:dyDescent="0.2">
      <c r="A172">
        <v>1004338</v>
      </c>
      <c r="B172">
        <v>19</v>
      </c>
      <c r="C172" t="s">
        <v>4</v>
      </c>
      <c r="D172">
        <v>2</v>
      </c>
      <c r="E172">
        <v>585</v>
      </c>
      <c r="F172" s="1">
        <v>4.8217932760978384</v>
      </c>
    </row>
    <row r="173" spans="1:6" x14ac:dyDescent="0.2">
      <c r="A173">
        <v>1011040</v>
      </c>
      <c r="B173">
        <v>19</v>
      </c>
      <c r="C173" t="s">
        <v>4</v>
      </c>
      <c r="D173">
        <v>2</v>
      </c>
      <c r="E173">
        <v>660</v>
      </c>
      <c r="F173" s="1">
        <v>5.7004524227335427</v>
      </c>
    </row>
    <row r="174" spans="1:6" x14ac:dyDescent="0.2">
      <c r="A174">
        <v>1012805</v>
      </c>
      <c r="C174" t="s">
        <v>4</v>
      </c>
      <c r="D174">
        <v>3</v>
      </c>
      <c r="E174">
        <v>633</v>
      </c>
      <c r="F174" s="1">
        <v>4.8053315310621674</v>
      </c>
    </row>
    <row r="175" spans="1:6" x14ac:dyDescent="0.2">
      <c r="A175">
        <v>1015163</v>
      </c>
      <c r="B175">
        <v>18</v>
      </c>
      <c r="C175" t="s">
        <v>4</v>
      </c>
      <c r="D175">
        <v>2</v>
      </c>
      <c r="E175">
        <v>637</v>
      </c>
      <c r="F175" s="1">
        <v>4.8325660248925066</v>
      </c>
    </row>
    <row r="176" spans="1:6" x14ac:dyDescent="0.2">
      <c r="A176">
        <v>1015163</v>
      </c>
      <c r="B176">
        <v>18</v>
      </c>
      <c r="C176" t="s">
        <v>4</v>
      </c>
      <c r="D176">
        <v>2</v>
      </c>
      <c r="E176">
        <v>637</v>
      </c>
      <c r="F176" s="1">
        <v>4.8325660248925066</v>
      </c>
    </row>
    <row r="177" spans="1:6" x14ac:dyDescent="0.2">
      <c r="A177">
        <v>7771</v>
      </c>
      <c r="B177">
        <v>19</v>
      </c>
      <c r="C177" t="s">
        <v>5</v>
      </c>
      <c r="D177">
        <v>1</v>
      </c>
      <c r="E177">
        <v>590</v>
      </c>
      <c r="F177" s="1">
        <v>4.9894684578748532</v>
      </c>
    </row>
    <row r="178" spans="1:6" x14ac:dyDescent="0.2">
      <c r="A178">
        <v>9935</v>
      </c>
      <c r="B178">
        <v>19</v>
      </c>
      <c r="C178" t="s">
        <v>5</v>
      </c>
      <c r="D178">
        <v>1</v>
      </c>
      <c r="E178">
        <v>593</v>
      </c>
      <c r="F178" s="1">
        <v>5.4941468435444794</v>
      </c>
    </row>
    <row r="179" spans="1:6" x14ac:dyDescent="0.2">
      <c r="A179">
        <v>10307</v>
      </c>
      <c r="B179">
        <v>20</v>
      </c>
      <c r="C179" t="s">
        <v>5</v>
      </c>
      <c r="D179">
        <v>2</v>
      </c>
      <c r="E179">
        <v>558</v>
      </c>
      <c r="F179" s="1">
        <v>4.9602020016105026</v>
      </c>
    </row>
    <row r="180" spans="1:6" x14ac:dyDescent="0.2">
      <c r="A180">
        <v>25168</v>
      </c>
      <c r="B180">
        <v>23</v>
      </c>
      <c r="C180" t="s">
        <v>5</v>
      </c>
      <c r="D180">
        <v>2</v>
      </c>
      <c r="E180">
        <v>540</v>
      </c>
      <c r="F180" s="1">
        <v>4.1188700594652436</v>
      </c>
    </row>
    <row r="181" spans="1:6" x14ac:dyDescent="0.2">
      <c r="A181">
        <v>43554</v>
      </c>
      <c r="B181">
        <v>18</v>
      </c>
      <c r="C181" t="s">
        <v>5</v>
      </c>
      <c r="D181">
        <v>2</v>
      </c>
      <c r="E181">
        <v>600</v>
      </c>
      <c r="F181" s="1">
        <v>4.8131052343716254</v>
      </c>
    </row>
    <row r="182" spans="1:6" x14ac:dyDescent="0.2">
      <c r="A182">
        <v>46444</v>
      </c>
      <c r="B182">
        <v>18</v>
      </c>
      <c r="C182" t="s">
        <v>5</v>
      </c>
      <c r="D182">
        <v>3</v>
      </c>
      <c r="E182">
        <v>610</v>
      </c>
      <c r="F182" s="1">
        <v>5.4375856971746801</v>
      </c>
    </row>
    <row r="183" spans="1:6" x14ac:dyDescent="0.2">
      <c r="A183">
        <v>60763</v>
      </c>
      <c r="B183">
        <v>24</v>
      </c>
      <c r="C183" t="s">
        <v>5</v>
      </c>
      <c r="D183">
        <v>1</v>
      </c>
      <c r="E183">
        <v>475</v>
      </c>
      <c r="F183" s="1">
        <v>4.2105158664352196</v>
      </c>
    </row>
    <row r="184" spans="1:6" x14ac:dyDescent="0.2">
      <c r="A184">
        <v>61656</v>
      </c>
      <c r="B184">
        <v>18</v>
      </c>
      <c r="C184" t="s">
        <v>5</v>
      </c>
      <c r="D184">
        <v>1</v>
      </c>
      <c r="E184">
        <v>600</v>
      </c>
      <c r="F184" s="1">
        <v>4.8619979727382958</v>
      </c>
    </row>
    <row r="185" spans="1:6" x14ac:dyDescent="0.2">
      <c r="A185">
        <v>66268</v>
      </c>
      <c r="B185">
        <v>18</v>
      </c>
      <c r="C185" t="s">
        <v>5</v>
      </c>
      <c r="D185">
        <v>2</v>
      </c>
      <c r="E185">
        <v>676</v>
      </c>
      <c r="F185" s="1">
        <v>5.2555909160752927</v>
      </c>
    </row>
    <row r="186" spans="1:6" x14ac:dyDescent="0.2">
      <c r="A186">
        <v>69058</v>
      </c>
      <c r="B186">
        <v>18</v>
      </c>
      <c r="C186" t="s">
        <v>5</v>
      </c>
      <c r="D186">
        <v>2</v>
      </c>
      <c r="E186">
        <v>575</v>
      </c>
      <c r="F186" s="1">
        <v>4.8271021827307985</v>
      </c>
    </row>
    <row r="187" spans="1:6" x14ac:dyDescent="0.2">
      <c r="A187">
        <v>72265</v>
      </c>
      <c r="B187">
        <v>19</v>
      </c>
      <c r="C187" t="s">
        <v>5</v>
      </c>
      <c r="D187">
        <v>2</v>
      </c>
      <c r="E187">
        <v>610</v>
      </c>
      <c r="F187" s="1">
        <v>5.1096626320265033</v>
      </c>
    </row>
    <row r="188" spans="1:6" x14ac:dyDescent="0.2">
      <c r="A188">
        <v>73885</v>
      </c>
      <c r="B188">
        <v>19</v>
      </c>
      <c r="C188" t="s">
        <v>5</v>
      </c>
      <c r="D188">
        <v>3</v>
      </c>
      <c r="E188">
        <v>628</v>
      </c>
      <c r="F188" s="1">
        <v>5.1627879695165797</v>
      </c>
    </row>
    <row r="189" spans="1:6" x14ac:dyDescent="0.2">
      <c r="A189">
        <v>74523</v>
      </c>
      <c r="B189">
        <v>25</v>
      </c>
      <c r="C189" t="s">
        <v>5</v>
      </c>
      <c r="D189">
        <v>2</v>
      </c>
      <c r="E189">
        <v>575</v>
      </c>
      <c r="F189" s="1">
        <v>4.6604059078106177</v>
      </c>
    </row>
    <row r="190" spans="1:6" x14ac:dyDescent="0.2">
      <c r="A190">
        <v>75966</v>
      </c>
      <c r="B190">
        <v>19</v>
      </c>
      <c r="C190" t="s">
        <v>5</v>
      </c>
      <c r="D190">
        <v>1</v>
      </c>
      <c r="E190">
        <v>565</v>
      </c>
      <c r="F190" s="1">
        <v>4.9158051566671839</v>
      </c>
    </row>
    <row r="191" spans="1:6" x14ac:dyDescent="0.2">
      <c r="A191">
        <v>80662</v>
      </c>
      <c r="B191">
        <v>24</v>
      </c>
      <c r="C191" t="s">
        <v>5</v>
      </c>
      <c r="D191">
        <v>2</v>
      </c>
      <c r="E191">
        <v>548</v>
      </c>
      <c r="F191" s="1">
        <v>4.8071397057737872</v>
      </c>
    </row>
    <row r="192" spans="1:6" x14ac:dyDescent="0.2">
      <c r="A192">
        <v>80847</v>
      </c>
      <c r="B192">
        <v>19</v>
      </c>
      <c r="C192" t="s">
        <v>5</v>
      </c>
      <c r="D192">
        <v>2</v>
      </c>
      <c r="E192">
        <v>575</v>
      </c>
      <c r="F192" s="1">
        <v>4.9070346537103884</v>
      </c>
    </row>
    <row r="193" spans="1:6" x14ac:dyDescent="0.2">
      <c r="A193">
        <v>91829</v>
      </c>
      <c r="B193">
        <v>18</v>
      </c>
      <c r="C193" t="s">
        <v>5</v>
      </c>
      <c r="D193">
        <v>2</v>
      </c>
      <c r="E193">
        <v>607</v>
      </c>
      <c r="F193" s="1">
        <v>5.0275226206065868</v>
      </c>
    </row>
    <row r="194" spans="1:6" x14ac:dyDescent="0.2">
      <c r="A194">
        <v>92372</v>
      </c>
      <c r="B194">
        <v>18</v>
      </c>
      <c r="C194" t="s">
        <v>5</v>
      </c>
      <c r="D194">
        <v>2</v>
      </c>
      <c r="E194">
        <v>507</v>
      </c>
      <c r="F194" s="1">
        <v>5.0720799916428891</v>
      </c>
    </row>
    <row r="195" spans="1:6" x14ac:dyDescent="0.2">
      <c r="A195">
        <v>112265</v>
      </c>
      <c r="B195">
        <v>19</v>
      </c>
      <c r="C195" t="s">
        <v>5</v>
      </c>
      <c r="D195">
        <v>2</v>
      </c>
      <c r="E195">
        <v>640</v>
      </c>
      <c r="F195" s="1">
        <v>5.3817071404543926</v>
      </c>
    </row>
    <row r="196" spans="1:6" x14ac:dyDescent="0.2">
      <c r="A196">
        <v>114219</v>
      </c>
      <c r="B196">
        <v>27</v>
      </c>
      <c r="C196" t="s">
        <v>5</v>
      </c>
      <c r="D196">
        <v>1</v>
      </c>
      <c r="E196">
        <v>606</v>
      </c>
      <c r="F196" s="1">
        <v>5.1491532371386146</v>
      </c>
    </row>
    <row r="197" spans="1:6" x14ac:dyDescent="0.2">
      <c r="A197">
        <v>114614</v>
      </c>
      <c r="B197">
        <v>19</v>
      </c>
      <c r="C197" t="s">
        <v>5</v>
      </c>
      <c r="D197">
        <v>2</v>
      </c>
      <c r="E197">
        <v>513</v>
      </c>
      <c r="F197" s="1">
        <v>4.0282218275222972</v>
      </c>
    </row>
    <row r="198" spans="1:6" x14ac:dyDescent="0.2">
      <c r="A198">
        <v>127402</v>
      </c>
      <c r="B198">
        <v>18</v>
      </c>
      <c r="C198" t="s">
        <v>5</v>
      </c>
      <c r="D198">
        <v>2</v>
      </c>
      <c r="E198">
        <v>630</v>
      </c>
      <c r="F198" s="1">
        <v>4.9813739423133239</v>
      </c>
    </row>
    <row r="199" spans="1:6" x14ac:dyDescent="0.2">
      <c r="A199">
        <v>129273</v>
      </c>
      <c r="B199">
        <v>19</v>
      </c>
      <c r="C199" t="s">
        <v>5</v>
      </c>
      <c r="D199">
        <v>2</v>
      </c>
      <c r="E199">
        <v>625</v>
      </c>
      <c r="F199" s="1">
        <v>5.1052904026873724</v>
      </c>
    </row>
    <row r="200" spans="1:6" x14ac:dyDescent="0.2">
      <c r="A200">
        <v>130159</v>
      </c>
      <c r="B200">
        <v>19</v>
      </c>
      <c r="C200" t="s">
        <v>5</v>
      </c>
      <c r="D200">
        <v>2</v>
      </c>
      <c r="E200">
        <v>575</v>
      </c>
      <c r="F200" s="1">
        <v>5.061764148113423</v>
      </c>
    </row>
    <row r="201" spans="1:6" x14ac:dyDescent="0.2">
      <c r="A201">
        <v>130242</v>
      </c>
      <c r="B201">
        <v>19</v>
      </c>
      <c r="C201" t="s">
        <v>5</v>
      </c>
      <c r="D201">
        <v>2</v>
      </c>
      <c r="E201">
        <v>607</v>
      </c>
      <c r="F201" s="1">
        <v>4.7723085959397027</v>
      </c>
    </row>
    <row r="202" spans="1:6" x14ac:dyDescent="0.2">
      <c r="A202">
        <v>142841</v>
      </c>
      <c r="B202">
        <v>20</v>
      </c>
      <c r="C202" t="s">
        <v>5</v>
      </c>
      <c r="D202">
        <v>3</v>
      </c>
      <c r="E202">
        <v>622</v>
      </c>
      <c r="F202" s="1">
        <v>5.0127703786343965</v>
      </c>
    </row>
    <row r="203" spans="1:6" x14ac:dyDescent="0.2">
      <c r="A203">
        <v>142904</v>
      </c>
      <c r="B203">
        <v>19</v>
      </c>
      <c r="C203" t="s">
        <v>5</v>
      </c>
      <c r="D203">
        <v>1</v>
      </c>
      <c r="E203">
        <v>547</v>
      </c>
      <c r="F203" s="1">
        <v>4.6277851608861198</v>
      </c>
    </row>
    <row r="204" spans="1:6" x14ac:dyDescent="0.2">
      <c r="A204">
        <v>152017</v>
      </c>
      <c r="B204">
        <v>22</v>
      </c>
      <c r="C204" t="s">
        <v>5</v>
      </c>
      <c r="D204">
        <v>1</v>
      </c>
      <c r="E204">
        <v>548</v>
      </c>
      <c r="F204" s="1">
        <v>4.4798488562329304</v>
      </c>
    </row>
    <row r="205" spans="1:6" x14ac:dyDescent="0.2">
      <c r="A205">
        <v>166052</v>
      </c>
      <c r="B205">
        <v>19</v>
      </c>
      <c r="C205" t="s">
        <v>5</v>
      </c>
      <c r="D205">
        <v>2</v>
      </c>
      <c r="E205">
        <v>573</v>
      </c>
      <c r="F205" s="1">
        <v>4.6965799165232154</v>
      </c>
    </row>
    <row r="206" spans="1:6" x14ac:dyDescent="0.2">
      <c r="A206">
        <v>170877</v>
      </c>
      <c r="B206">
        <v>19</v>
      </c>
      <c r="C206" t="s">
        <v>5</v>
      </c>
      <c r="D206">
        <v>2</v>
      </c>
      <c r="E206">
        <v>583</v>
      </c>
      <c r="F206" s="1">
        <v>4.3345197211897872</v>
      </c>
    </row>
    <row r="207" spans="1:6" x14ac:dyDescent="0.2">
      <c r="A207">
        <v>177282</v>
      </c>
      <c r="B207">
        <v>21</v>
      </c>
      <c r="C207" t="s">
        <v>5</v>
      </c>
      <c r="D207">
        <v>2</v>
      </c>
      <c r="E207">
        <v>648</v>
      </c>
      <c r="F207" s="1">
        <v>5.3926328839541506</v>
      </c>
    </row>
    <row r="208" spans="1:6" x14ac:dyDescent="0.2">
      <c r="A208">
        <v>177329</v>
      </c>
      <c r="B208">
        <v>19</v>
      </c>
      <c r="C208" t="s">
        <v>5</v>
      </c>
      <c r="D208">
        <v>2</v>
      </c>
      <c r="E208">
        <v>610</v>
      </c>
      <c r="F208" s="1">
        <v>5.0851267754358949</v>
      </c>
    </row>
    <row r="209" spans="1:6" x14ac:dyDescent="0.2">
      <c r="A209">
        <v>185837</v>
      </c>
      <c r="B209">
        <v>18</v>
      </c>
      <c r="C209" t="s">
        <v>5</v>
      </c>
      <c r="D209">
        <v>1</v>
      </c>
      <c r="E209">
        <v>665</v>
      </c>
      <c r="F209" s="1">
        <v>4.7659433516163325</v>
      </c>
    </row>
    <row r="210" spans="1:6" x14ac:dyDescent="0.2">
      <c r="A210">
        <v>193638</v>
      </c>
      <c r="B210">
        <v>18</v>
      </c>
      <c r="C210" t="s">
        <v>5</v>
      </c>
      <c r="D210">
        <v>2</v>
      </c>
      <c r="E210">
        <v>635</v>
      </c>
      <c r="F210" s="1">
        <v>5.2794853049529591</v>
      </c>
    </row>
    <row r="211" spans="1:6" x14ac:dyDescent="0.2">
      <c r="A211">
        <v>193866</v>
      </c>
      <c r="B211">
        <v>18</v>
      </c>
      <c r="C211" t="s">
        <v>5</v>
      </c>
      <c r="D211">
        <v>1</v>
      </c>
      <c r="E211">
        <v>621</v>
      </c>
      <c r="F211" s="1">
        <v>5.3882581519740151</v>
      </c>
    </row>
    <row r="212" spans="1:6" x14ac:dyDescent="0.2">
      <c r="A212">
        <v>194181</v>
      </c>
      <c r="B212">
        <v>18</v>
      </c>
      <c r="C212" t="s">
        <v>5</v>
      </c>
      <c r="D212">
        <v>2</v>
      </c>
      <c r="E212">
        <v>662</v>
      </c>
      <c r="F212" s="1">
        <v>5.5134868284700413</v>
      </c>
    </row>
    <row r="213" spans="1:6" x14ac:dyDescent="0.2">
      <c r="A213">
        <v>194576</v>
      </c>
      <c r="B213">
        <v>19</v>
      </c>
      <c r="C213" t="s">
        <v>5</v>
      </c>
      <c r="D213">
        <v>1</v>
      </c>
      <c r="E213">
        <v>600</v>
      </c>
      <c r="F213" s="1">
        <v>4.5686975593134864</v>
      </c>
    </row>
    <row r="214" spans="1:6" x14ac:dyDescent="0.2">
      <c r="A214">
        <v>206075</v>
      </c>
      <c r="B214">
        <v>21</v>
      </c>
      <c r="C214" t="s">
        <v>5</v>
      </c>
      <c r="D214">
        <v>2</v>
      </c>
      <c r="E214">
        <v>523</v>
      </c>
      <c r="F214" s="1">
        <v>4.374243222541919</v>
      </c>
    </row>
    <row r="215" spans="1:6" x14ac:dyDescent="0.2">
      <c r="A215">
        <v>208911</v>
      </c>
      <c r="B215">
        <v>18</v>
      </c>
      <c r="C215" t="s">
        <v>5</v>
      </c>
      <c r="D215">
        <v>2</v>
      </c>
      <c r="E215">
        <v>600</v>
      </c>
      <c r="F215" s="1">
        <v>4.8622030636661062</v>
      </c>
    </row>
    <row r="216" spans="1:6" x14ac:dyDescent="0.2">
      <c r="A216">
        <v>219029</v>
      </c>
      <c r="B216">
        <v>18</v>
      </c>
      <c r="C216" t="s">
        <v>5</v>
      </c>
      <c r="D216">
        <v>1</v>
      </c>
      <c r="E216">
        <v>617</v>
      </c>
      <c r="F216" s="1">
        <v>5.3546893487164837</v>
      </c>
    </row>
    <row r="217" spans="1:6" x14ac:dyDescent="0.2">
      <c r="A217">
        <v>231303</v>
      </c>
      <c r="B217">
        <v>19</v>
      </c>
      <c r="C217" t="s">
        <v>5</v>
      </c>
      <c r="D217">
        <v>2</v>
      </c>
      <c r="E217">
        <v>580</v>
      </c>
      <c r="F217" s="1">
        <v>4.7090256413480809</v>
      </c>
    </row>
    <row r="218" spans="1:6" x14ac:dyDescent="0.2">
      <c r="A218">
        <v>242198</v>
      </c>
      <c r="B218">
        <v>20</v>
      </c>
      <c r="C218" t="s">
        <v>5</v>
      </c>
      <c r="D218">
        <v>2</v>
      </c>
      <c r="E218">
        <v>493</v>
      </c>
      <c r="F218" s="1">
        <v>4.8576787994688964</v>
      </c>
    </row>
    <row r="219" spans="1:6" x14ac:dyDescent="0.2">
      <c r="A219">
        <v>246945</v>
      </c>
      <c r="B219">
        <v>19</v>
      </c>
      <c r="C219" t="s">
        <v>5</v>
      </c>
      <c r="D219">
        <v>2</v>
      </c>
      <c r="E219">
        <v>600</v>
      </c>
      <c r="F219" s="1">
        <v>5.4055062631673199</v>
      </c>
    </row>
    <row r="220" spans="1:6" x14ac:dyDescent="0.2">
      <c r="A220">
        <v>250497</v>
      </c>
      <c r="B220">
        <v>18</v>
      </c>
      <c r="C220" t="s">
        <v>5</v>
      </c>
      <c r="D220">
        <v>2</v>
      </c>
      <c r="E220">
        <v>580</v>
      </c>
      <c r="F220" s="1">
        <v>5.2499360813350879</v>
      </c>
    </row>
    <row r="221" spans="1:6" x14ac:dyDescent="0.2">
      <c r="A221">
        <v>252395</v>
      </c>
      <c r="B221">
        <v>18</v>
      </c>
      <c r="C221" t="s">
        <v>5</v>
      </c>
      <c r="D221">
        <v>2</v>
      </c>
      <c r="E221">
        <v>642</v>
      </c>
      <c r="F221" s="1">
        <v>5.2560514052361782</v>
      </c>
    </row>
    <row r="222" spans="1:6" x14ac:dyDescent="0.2">
      <c r="A222">
        <v>252717</v>
      </c>
      <c r="B222">
        <v>18</v>
      </c>
      <c r="C222" t="s">
        <v>5</v>
      </c>
      <c r="D222">
        <v>1</v>
      </c>
      <c r="E222">
        <v>688</v>
      </c>
      <c r="F222" s="1">
        <v>6.0346240226849135</v>
      </c>
    </row>
    <row r="223" spans="1:6" x14ac:dyDescent="0.2">
      <c r="A223">
        <v>254045</v>
      </c>
      <c r="B223">
        <v>18</v>
      </c>
      <c r="C223" t="s">
        <v>5</v>
      </c>
      <c r="D223">
        <v>1</v>
      </c>
      <c r="E223">
        <v>560</v>
      </c>
      <c r="F223" s="1">
        <v>5.0086126855127144</v>
      </c>
    </row>
    <row r="224" spans="1:6" x14ac:dyDescent="0.2">
      <c r="A224">
        <v>260738</v>
      </c>
      <c r="B224">
        <v>19</v>
      </c>
      <c r="C224" t="s">
        <v>5</v>
      </c>
      <c r="D224">
        <v>1</v>
      </c>
      <c r="E224">
        <v>547</v>
      </c>
      <c r="F224" s="1">
        <v>4.8336251239738628</v>
      </c>
    </row>
    <row r="225" spans="1:6" x14ac:dyDescent="0.2">
      <c r="A225">
        <v>260738</v>
      </c>
      <c r="B225">
        <v>19</v>
      </c>
      <c r="C225" t="s">
        <v>5</v>
      </c>
      <c r="D225">
        <v>1</v>
      </c>
      <c r="E225">
        <v>547</v>
      </c>
      <c r="F225" s="1">
        <v>4.8336251239738628</v>
      </c>
    </row>
    <row r="226" spans="1:6" x14ac:dyDescent="0.2">
      <c r="A226">
        <v>293507</v>
      </c>
      <c r="B226">
        <v>19</v>
      </c>
      <c r="C226" t="s">
        <v>5</v>
      </c>
      <c r="D226">
        <v>1</v>
      </c>
      <c r="E226">
        <v>585</v>
      </c>
      <c r="F226" s="1">
        <v>4.6343173029524412</v>
      </c>
    </row>
    <row r="227" spans="1:6" x14ac:dyDescent="0.2">
      <c r="A227">
        <v>307318</v>
      </c>
      <c r="B227">
        <v>18</v>
      </c>
      <c r="C227" t="s">
        <v>5</v>
      </c>
      <c r="D227">
        <v>2</v>
      </c>
      <c r="E227">
        <v>625</v>
      </c>
      <c r="F227" s="1">
        <v>4.8537582362612488</v>
      </c>
    </row>
    <row r="228" spans="1:6" x14ac:dyDescent="0.2">
      <c r="A228">
        <v>307731</v>
      </c>
      <c r="B228">
        <v>19</v>
      </c>
      <c r="C228" t="s">
        <v>5</v>
      </c>
      <c r="D228">
        <v>2</v>
      </c>
      <c r="E228">
        <v>620</v>
      </c>
      <c r="F228" s="1">
        <v>5.2933221233309933</v>
      </c>
    </row>
    <row r="229" spans="1:6" x14ac:dyDescent="0.2">
      <c r="A229">
        <v>310385</v>
      </c>
      <c r="B229">
        <v>19</v>
      </c>
      <c r="C229" t="s">
        <v>5</v>
      </c>
      <c r="D229">
        <v>1</v>
      </c>
      <c r="E229">
        <v>580</v>
      </c>
      <c r="F229" s="1">
        <v>4.9255324023661595</v>
      </c>
    </row>
    <row r="230" spans="1:6" x14ac:dyDescent="0.2">
      <c r="A230">
        <v>339489</v>
      </c>
      <c r="B230">
        <v>19</v>
      </c>
      <c r="C230" t="s">
        <v>5</v>
      </c>
      <c r="D230">
        <v>1</v>
      </c>
      <c r="E230">
        <v>516</v>
      </c>
      <c r="F230" s="1">
        <v>4.2312676691430635</v>
      </c>
    </row>
    <row r="231" spans="1:6" x14ac:dyDescent="0.2">
      <c r="A231">
        <v>347529</v>
      </c>
      <c r="B231">
        <v>19</v>
      </c>
      <c r="C231" t="s">
        <v>5</v>
      </c>
      <c r="D231">
        <v>1</v>
      </c>
      <c r="E231">
        <v>598</v>
      </c>
      <c r="F231" s="1">
        <v>4.8148383548943903</v>
      </c>
    </row>
    <row r="232" spans="1:6" x14ac:dyDescent="0.2">
      <c r="A232">
        <v>354606</v>
      </c>
      <c r="B232">
        <v>19</v>
      </c>
      <c r="C232" t="s">
        <v>5</v>
      </c>
      <c r="D232">
        <v>2</v>
      </c>
      <c r="E232">
        <v>650</v>
      </c>
      <c r="F232" s="1">
        <v>5.4280930548518072</v>
      </c>
    </row>
    <row r="233" spans="1:6" x14ac:dyDescent="0.2">
      <c r="A233">
        <v>360103</v>
      </c>
      <c r="B233">
        <v>20</v>
      </c>
      <c r="C233" t="s">
        <v>5</v>
      </c>
      <c r="D233">
        <v>2</v>
      </c>
      <c r="E233">
        <v>651</v>
      </c>
      <c r="F233" s="1">
        <v>4.7135334566512395</v>
      </c>
    </row>
    <row r="234" spans="1:6" x14ac:dyDescent="0.2">
      <c r="A234">
        <v>361020</v>
      </c>
      <c r="B234">
        <v>18</v>
      </c>
      <c r="C234" t="s">
        <v>5</v>
      </c>
      <c r="D234">
        <v>2</v>
      </c>
      <c r="E234">
        <v>632</v>
      </c>
      <c r="F234" s="1">
        <v>5.4642366181693145</v>
      </c>
    </row>
    <row r="235" spans="1:6" x14ac:dyDescent="0.2">
      <c r="A235">
        <v>364522</v>
      </c>
      <c r="B235">
        <v>18</v>
      </c>
      <c r="C235" t="s">
        <v>5</v>
      </c>
      <c r="D235">
        <v>1</v>
      </c>
      <c r="E235">
        <v>600</v>
      </c>
      <c r="F235" s="1">
        <v>4.7950305133944386</v>
      </c>
    </row>
    <row r="236" spans="1:6" x14ac:dyDescent="0.2">
      <c r="A236">
        <v>382730</v>
      </c>
      <c r="B236">
        <v>23</v>
      </c>
      <c r="C236" t="s">
        <v>5</v>
      </c>
      <c r="D236">
        <v>2</v>
      </c>
      <c r="E236">
        <v>492</v>
      </c>
      <c r="F236" s="1">
        <v>4.1550603002311419</v>
      </c>
    </row>
    <row r="237" spans="1:6" x14ac:dyDescent="0.2">
      <c r="A237">
        <v>388699</v>
      </c>
      <c r="B237">
        <v>18</v>
      </c>
      <c r="C237" t="s">
        <v>5</v>
      </c>
      <c r="D237">
        <v>1</v>
      </c>
      <c r="E237">
        <v>600</v>
      </c>
      <c r="F237" s="1">
        <v>5.133179721296333</v>
      </c>
    </row>
    <row r="238" spans="1:6" x14ac:dyDescent="0.2">
      <c r="A238">
        <v>389723</v>
      </c>
      <c r="B238">
        <v>19</v>
      </c>
      <c r="C238" t="s">
        <v>5</v>
      </c>
      <c r="D238">
        <v>2</v>
      </c>
      <c r="E238">
        <v>575</v>
      </c>
      <c r="F238" s="1">
        <v>5.344565696800494</v>
      </c>
    </row>
    <row r="239" spans="1:6" x14ac:dyDescent="0.2">
      <c r="A239">
        <v>392763</v>
      </c>
      <c r="B239">
        <v>20</v>
      </c>
      <c r="C239" t="s">
        <v>5</v>
      </c>
      <c r="D239">
        <v>1</v>
      </c>
      <c r="E239">
        <v>600</v>
      </c>
      <c r="F239" s="1">
        <v>4.7228660478947351</v>
      </c>
    </row>
    <row r="240" spans="1:6" x14ac:dyDescent="0.2">
      <c r="A240">
        <v>397472</v>
      </c>
      <c r="B240">
        <v>20</v>
      </c>
      <c r="C240" t="s">
        <v>5</v>
      </c>
      <c r="D240">
        <v>2</v>
      </c>
      <c r="E240">
        <v>565</v>
      </c>
      <c r="F240" s="1">
        <v>4.6456887518363565</v>
      </c>
    </row>
    <row r="241" spans="1:6" x14ac:dyDescent="0.2">
      <c r="A241">
        <v>400667</v>
      </c>
      <c r="B241">
        <v>19</v>
      </c>
      <c r="C241" t="s">
        <v>5</v>
      </c>
      <c r="D241">
        <v>1</v>
      </c>
      <c r="E241">
        <v>620</v>
      </c>
      <c r="F241" s="1">
        <v>4.8317276580400081</v>
      </c>
    </row>
    <row r="242" spans="1:6" x14ac:dyDescent="0.2">
      <c r="A242">
        <v>407436</v>
      </c>
      <c r="B242">
        <v>19</v>
      </c>
      <c r="C242" t="s">
        <v>5</v>
      </c>
      <c r="D242">
        <v>2</v>
      </c>
      <c r="E242">
        <v>625</v>
      </c>
      <c r="F242" s="1">
        <v>5.3068660806733918</v>
      </c>
    </row>
    <row r="243" spans="1:6" x14ac:dyDescent="0.2">
      <c r="A243">
        <v>407481</v>
      </c>
      <c r="B243">
        <v>20</v>
      </c>
      <c r="C243" t="s">
        <v>5</v>
      </c>
      <c r="D243">
        <v>2</v>
      </c>
      <c r="E243">
        <v>567</v>
      </c>
      <c r="F243" s="1">
        <v>5.1784929475131491</v>
      </c>
    </row>
    <row r="244" spans="1:6" x14ac:dyDescent="0.2">
      <c r="A244">
        <v>415172</v>
      </c>
      <c r="B244">
        <v>18</v>
      </c>
      <c r="C244" t="s">
        <v>5</v>
      </c>
      <c r="D244">
        <v>2</v>
      </c>
      <c r="E244">
        <v>632</v>
      </c>
      <c r="F244" s="1">
        <v>5.0952430064468004</v>
      </c>
    </row>
    <row r="245" spans="1:6" x14ac:dyDescent="0.2">
      <c r="A245">
        <v>426379</v>
      </c>
      <c r="B245">
        <v>22</v>
      </c>
      <c r="C245" t="s">
        <v>5</v>
      </c>
      <c r="D245">
        <v>2</v>
      </c>
      <c r="E245">
        <v>538</v>
      </c>
      <c r="F245" s="1">
        <v>4.9606420861124185</v>
      </c>
    </row>
    <row r="246" spans="1:6" x14ac:dyDescent="0.2">
      <c r="A246">
        <v>426423</v>
      </c>
      <c r="B246">
        <v>19</v>
      </c>
      <c r="C246" t="s">
        <v>5</v>
      </c>
      <c r="D246">
        <v>2</v>
      </c>
      <c r="E246">
        <v>580</v>
      </c>
      <c r="F246" s="1">
        <v>4.7454951221819357</v>
      </c>
    </row>
    <row r="247" spans="1:6" x14ac:dyDescent="0.2">
      <c r="A247">
        <v>459903</v>
      </c>
      <c r="B247">
        <v>21</v>
      </c>
      <c r="C247" t="s">
        <v>5</v>
      </c>
      <c r="D247">
        <v>3</v>
      </c>
      <c r="E247">
        <v>530</v>
      </c>
      <c r="F247" s="1">
        <v>4.7141703589726482</v>
      </c>
    </row>
    <row r="248" spans="1:6" x14ac:dyDescent="0.2">
      <c r="A248">
        <v>459903</v>
      </c>
      <c r="B248">
        <v>22</v>
      </c>
      <c r="C248" t="s">
        <v>5</v>
      </c>
      <c r="D248">
        <v>3</v>
      </c>
      <c r="E248">
        <v>530</v>
      </c>
      <c r="F248" s="1">
        <v>4.7141703589726482</v>
      </c>
    </row>
    <row r="249" spans="1:6" x14ac:dyDescent="0.2">
      <c r="A249">
        <v>471234</v>
      </c>
      <c r="B249">
        <v>23</v>
      </c>
      <c r="C249" t="s">
        <v>5</v>
      </c>
      <c r="D249">
        <v>3</v>
      </c>
      <c r="E249">
        <v>560</v>
      </c>
      <c r="F249" s="1">
        <v>5.0800108888323026</v>
      </c>
    </row>
    <row r="250" spans="1:6" x14ac:dyDescent="0.2">
      <c r="A250">
        <v>474462</v>
      </c>
      <c r="B250">
        <v>18</v>
      </c>
      <c r="C250" t="s">
        <v>5</v>
      </c>
      <c r="D250">
        <v>2</v>
      </c>
      <c r="E250">
        <v>632</v>
      </c>
      <c r="F250" s="1">
        <v>5.0602280616069493</v>
      </c>
    </row>
    <row r="251" spans="1:6" x14ac:dyDescent="0.2">
      <c r="A251">
        <v>482100</v>
      </c>
      <c r="B251">
        <v>20</v>
      </c>
      <c r="C251" t="s">
        <v>5</v>
      </c>
      <c r="D251">
        <v>1</v>
      </c>
      <c r="E251">
        <v>610</v>
      </c>
      <c r="F251" s="1">
        <v>5.1620580215222871</v>
      </c>
    </row>
    <row r="252" spans="1:6" x14ac:dyDescent="0.2">
      <c r="A252">
        <v>490693</v>
      </c>
      <c r="B252">
        <v>21</v>
      </c>
      <c r="C252" t="s">
        <v>5</v>
      </c>
      <c r="D252">
        <v>2</v>
      </c>
      <c r="E252">
        <v>623</v>
      </c>
      <c r="F252" s="1">
        <v>5.1969968012280638</v>
      </c>
    </row>
    <row r="253" spans="1:6" x14ac:dyDescent="0.2">
      <c r="A253">
        <v>501488</v>
      </c>
      <c r="B253">
        <v>22</v>
      </c>
      <c r="C253" t="s">
        <v>5</v>
      </c>
      <c r="D253">
        <v>2</v>
      </c>
      <c r="E253">
        <v>518</v>
      </c>
      <c r="F253" s="1">
        <v>4.0321546997970801</v>
      </c>
    </row>
    <row r="254" spans="1:6" x14ac:dyDescent="0.2">
      <c r="A254">
        <v>504045</v>
      </c>
      <c r="B254">
        <v>21</v>
      </c>
      <c r="C254" t="s">
        <v>5</v>
      </c>
      <c r="D254">
        <v>2</v>
      </c>
      <c r="E254">
        <v>621</v>
      </c>
      <c r="F254" s="1">
        <v>5.3811602053765801</v>
      </c>
    </row>
    <row r="255" spans="1:6" x14ac:dyDescent="0.2">
      <c r="A255">
        <v>504565</v>
      </c>
      <c r="B255">
        <v>45</v>
      </c>
      <c r="C255" t="s">
        <v>5</v>
      </c>
      <c r="D255">
        <v>1</v>
      </c>
      <c r="E255">
        <v>530</v>
      </c>
      <c r="F255" s="1">
        <v>4.435003883068938</v>
      </c>
    </row>
    <row r="256" spans="1:6" x14ac:dyDescent="0.2">
      <c r="A256">
        <v>506010</v>
      </c>
      <c r="B256">
        <v>18</v>
      </c>
      <c r="C256" t="s">
        <v>5</v>
      </c>
      <c r="D256">
        <v>2</v>
      </c>
      <c r="E256">
        <v>640</v>
      </c>
      <c r="F256" s="1">
        <v>4.8492157852398092</v>
      </c>
    </row>
    <row r="257" spans="1:6" x14ac:dyDescent="0.2">
      <c r="A257">
        <v>506964</v>
      </c>
      <c r="B257">
        <v>19</v>
      </c>
      <c r="C257" t="s">
        <v>5</v>
      </c>
      <c r="D257">
        <v>1</v>
      </c>
      <c r="E257">
        <v>625</v>
      </c>
      <c r="F257" s="1">
        <v>4.9401818767942869</v>
      </c>
    </row>
    <row r="258" spans="1:6" x14ac:dyDescent="0.2">
      <c r="A258">
        <v>506987</v>
      </c>
      <c r="B258">
        <v>18</v>
      </c>
      <c r="C258" t="s">
        <v>5</v>
      </c>
      <c r="D258">
        <v>2</v>
      </c>
      <c r="E258">
        <v>660</v>
      </c>
      <c r="F258" s="1">
        <v>5.5022364003069031</v>
      </c>
    </row>
    <row r="259" spans="1:6" x14ac:dyDescent="0.2">
      <c r="A259">
        <v>506987</v>
      </c>
      <c r="B259">
        <v>18</v>
      </c>
      <c r="C259" t="s">
        <v>5</v>
      </c>
      <c r="D259">
        <v>2</v>
      </c>
      <c r="E259">
        <v>660</v>
      </c>
      <c r="F259" s="1">
        <v>5.5022364003069031</v>
      </c>
    </row>
    <row r="260" spans="1:6" x14ac:dyDescent="0.2">
      <c r="A260">
        <v>508845</v>
      </c>
      <c r="B260">
        <v>19</v>
      </c>
      <c r="C260" t="s">
        <v>5</v>
      </c>
      <c r="D260">
        <v>2</v>
      </c>
      <c r="E260">
        <v>556</v>
      </c>
      <c r="F260" s="1"/>
    </row>
    <row r="261" spans="1:6" x14ac:dyDescent="0.2">
      <c r="A261">
        <v>516827</v>
      </c>
      <c r="B261">
        <v>19</v>
      </c>
      <c r="C261" t="s">
        <v>5</v>
      </c>
      <c r="D261">
        <v>1</v>
      </c>
      <c r="E261">
        <v>550</v>
      </c>
      <c r="F261" s="1">
        <v>5.036678551710601</v>
      </c>
    </row>
    <row r="262" spans="1:6" x14ac:dyDescent="0.2">
      <c r="A262">
        <v>523961</v>
      </c>
      <c r="B262">
        <v>24</v>
      </c>
      <c r="C262" t="s">
        <v>5</v>
      </c>
      <c r="D262">
        <v>3</v>
      </c>
      <c r="E262">
        <v>623</v>
      </c>
      <c r="F262" s="1">
        <v>5.0629090213947796</v>
      </c>
    </row>
    <row r="263" spans="1:6" x14ac:dyDescent="0.2">
      <c r="A263">
        <v>528004</v>
      </c>
      <c r="B263">
        <v>18</v>
      </c>
      <c r="C263" t="s">
        <v>5</v>
      </c>
      <c r="D263">
        <v>1</v>
      </c>
      <c r="E263">
        <v>520</v>
      </c>
      <c r="F263" s="1">
        <v>4.0709901301872851</v>
      </c>
    </row>
    <row r="264" spans="1:6" x14ac:dyDescent="0.2">
      <c r="A264">
        <v>528593</v>
      </c>
      <c r="B264">
        <v>20</v>
      </c>
      <c r="C264" t="s">
        <v>5</v>
      </c>
      <c r="D264">
        <v>2</v>
      </c>
      <c r="E264">
        <v>597</v>
      </c>
      <c r="F264" s="1">
        <v>5.2670643226065614</v>
      </c>
    </row>
    <row r="265" spans="1:6" x14ac:dyDescent="0.2">
      <c r="A265">
        <v>529233</v>
      </c>
      <c r="B265">
        <v>20</v>
      </c>
      <c r="C265" t="s">
        <v>5</v>
      </c>
      <c r="D265">
        <v>2</v>
      </c>
      <c r="E265">
        <v>520</v>
      </c>
      <c r="F265" s="1">
        <v>4.8177485626805989</v>
      </c>
    </row>
    <row r="266" spans="1:6" x14ac:dyDescent="0.2">
      <c r="A266">
        <v>536686</v>
      </c>
      <c r="B266">
        <v>24</v>
      </c>
      <c r="C266" t="s">
        <v>5</v>
      </c>
      <c r="D266">
        <v>2</v>
      </c>
      <c r="E266">
        <v>615</v>
      </c>
      <c r="F266" s="1">
        <v>5.0808654717081003</v>
      </c>
    </row>
    <row r="267" spans="1:6" x14ac:dyDescent="0.2">
      <c r="A267">
        <v>537554</v>
      </c>
      <c r="B267">
        <v>22</v>
      </c>
      <c r="C267" t="s">
        <v>5</v>
      </c>
      <c r="D267">
        <v>3</v>
      </c>
      <c r="E267">
        <v>580</v>
      </c>
      <c r="F267" s="1">
        <v>4.7037289151288988</v>
      </c>
    </row>
    <row r="268" spans="1:6" x14ac:dyDescent="0.2">
      <c r="A268">
        <v>541547</v>
      </c>
      <c r="B268">
        <v>18</v>
      </c>
      <c r="C268" t="s">
        <v>5</v>
      </c>
      <c r="D268">
        <v>1</v>
      </c>
      <c r="E268">
        <v>625</v>
      </c>
      <c r="F268" s="1">
        <v>5.2866006604783742</v>
      </c>
    </row>
    <row r="269" spans="1:6" x14ac:dyDescent="0.2">
      <c r="A269">
        <v>550982</v>
      </c>
      <c r="B269">
        <v>18</v>
      </c>
      <c r="C269" t="s">
        <v>5</v>
      </c>
      <c r="D269">
        <v>1</v>
      </c>
      <c r="E269">
        <v>584</v>
      </c>
      <c r="F269" s="1">
        <v>4.2220671537887684</v>
      </c>
    </row>
    <row r="270" spans="1:6" x14ac:dyDescent="0.2">
      <c r="A270">
        <v>564387</v>
      </c>
      <c r="B270">
        <v>19</v>
      </c>
      <c r="C270" t="s">
        <v>5</v>
      </c>
      <c r="D270">
        <v>1</v>
      </c>
      <c r="E270">
        <v>630</v>
      </c>
      <c r="F270" s="1">
        <v>5.1372390570727031</v>
      </c>
    </row>
    <row r="271" spans="1:6" x14ac:dyDescent="0.2">
      <c r="A271">
        <v>564387</v>
      </c>
      <c r="B271">
        <v>19</v>
      </c>
      <c r="C271" t="s">
        <v>5</v>
      </c>
      <c r="D271">
        <v>1</v>
      </c>
      <c r="E271">
        <v>630</v>
      </c>
      <c r="F271" s="1">
        <v>5.1372390570727031</v>
      </c>
    </row>
    <row r="272" spans="1:6" x14ac:dyDescent="0.2">
      <c r="A272">
        <v>569557</v>
      </c>
      <c r="B272">
        <v>18</v>
      </c>
      <c r="C272" t="s">
        <v>5</v>
      </c>
      <c r="D272">
        <v>2</v>
      </c>
      <c r="E272">
        <v>686</v>
      </c>
      <c r="F272" s="1">
        <v>5.5120307081019684</v>
      </c>
    </row>
    <row r="273" spans="1:6" x14ac:dyDescent="0.2">
      <c r="A273">
        <v>569638</v>
      </c>
      <c r="B273">
        <v>18</v>
      </c>
      <c r="C273" t="s">
        <v>5</v>
      </c>
      <c r="D273">
        <v>2</v>
      </c>
      <c r="E273">
        <v>600</v>
      </c>
      <c r="F273" s="1">
        <v>5.0491450298589475</v>
      </c>
    </row>
    <row r="274" spans="1:6" x14ac:dyDescent="0.2">
      <c r="A274">
        <v>571737</v>
      </c>
      <c r="B274">
        <v>18</v>
      </c>
      <c r="C274" t="s">
        <v>5</v>
      </c>
      <c r="D274">
        <v>1</v>
      </c>
      <c r="E274">
        <v>615</v>
      </c>
      <c r="F274" s="1">
        <v>5.5521703536960265</v>
      </c>
    </row>
    <row r="275" spans="1:6" x14ac:dyDescent="0.2">
      <c r="A275">
        <v>578545</v>
      </c>
      <c r="B275">
        <v>18</v>
      </c>
      <c r="C275" t="s">
        <v>5</v>
      </c>
      <c r="D275">
        <v>2</v>
      </c>
      <c r="E275">
        <v>575</v>
      </c>
      <c r="F275" s="1">
        <v>4.671540163189035</v>
      </c>
    </row>
    <row r="276" spans="1:6" x14ac:dyDescent="0.2">
      <c r="A276">
        <v>594881</v>
      </c>
      <c r="B276">
        <v>19</v>
      </c>
      <c r="C276" t="s">
        <v>5</v>
      </c>
      <c r="D276">
        <v>2</v>
      </c>
      <c r="E276">
        <v>611</v>
      </c>
      <c r="F276" s="1">
        <v>5.4610474491253544</v>
      </c>
    </row>
    <row r="277" spans="1:6" x14ac:dyDescent="0.2">
      <c r="A277">
        <v>595643</v>
      </c>
      <c r="B277">
        <v>20</v>
      </c>
      <c r="C277" t="s">
        <v>5</v>
      </c>
      <c r="D277">
        <v>2</v>
      </c>
      <c r="E277">
        <v>540</v>
      </c>
      <c r="F277" s="1">
        <v>4.5179654527509667</v>
      </c>
    </row>
    <row r="278" spans="1:6" x14ac:dyDescent="0.2">
      <c r="A278">
        <v>597588</v>
      </c>
      <c r="B278">
        <v>18</v>
      </c>
      <c r="C278" t="s">
        <v>5</v>
      </c>
      <c r="D278">
        <v>1</v>
      </c>
      <c r="E278">
        <v>605</v>
      </c>
      <c r="F278" s="1">
        <v>4.8881481774906614</v>
      </c>
    </row>
    <row r="279" spans="1:6" x14ac:dyDescent="0.2">
      <c r="A279">
        <v>600609</v>
      </c>
      <c r="B279">
        <v>18</v>
      </c>
      <c r="C279" t="s">
        <v>5</v>
      </c>
      <c r="D279">
        <v>1</v>
      </c>
      <c r="E279">
        <v>630</v>
      </c>
      <c r="F279" s="1">
        <v>5.3150613082849176</v>
      </c>
    </row>
    <row r="280" spans="1:6" x14ac:dyDescent="0.2">
      <c r="A280">
        <v>601240</v>
      </c>
      <c r="B280">
        <v>20</v>
      </c>
      <c r="C280" t="s">
        <v>5</v>
      </c>
      <c r="D280">
        <v>2</v>
      </c>
      <c r="E280">
        <v>530</v>
      </c>
      <c r="F280" s="1">
        <v>4.1507745975130037</v>
      </c>
    </row>
    <row r="281" spans="1:6" x14ac:dyDescent="0.2">
      <c r="A281">
        <v>611875</v>
      </c>
      <c r="B281">
        <v>20</v>
      </c>
      <c r="C281" t="s">
        <v>5</v>
      </c>
      <c r="D281">
        <v>2</v>
      </c>
      <c r="E281">
        <v>658</v>
      </c>
      <c r="F281" s="1">
        <v>5.3588536058219285</v>
      </c>
    </row>
    <row r="282" spans="1:6" x14ac:dyDescent="0.2">
      <c r="A282">
        <v>628064</v>
      </c>
      <c r="B282">
        <v>18</v>
      </c>
      <c r="C282" t="s">
        <v>5</v>
      </c>
      <c r="D282">
        <v>2</v>
      </c>
      <c r="E282">
        <v>585</v>
      </c>
      <c r="F282" s="1">
        <v>4.6049379092269662</v>
      </c>
    </row>
    <row r="283" spans="1:6" x14ac:dyDescent="0.2">
      <c r="A283">
        <v>631434</v>
      </c>
      <c r="B283">
        <v>19</v>
      </c>
      <c r="C283" t="s">
        <v>5</v>
      </c>
      <c r="D283">
        <v>2</v>
      </c>
      <c r="E283">
        <v>556</v>
      </c>
      <c r="F283" s="1">
        <v>4.8562912239016685</v>
      </c>
    </row>
    <row r="284" spans="1:6" x14ac:dyDescent="0.2">
      <c r="A284">
        <v>632255</v>
      </c>
      <c r="B284">
        <v>25</v>
      </c>
      <c r="C284" t="s">
        <v>5</v>
      </c>
      <c r="D284">
        <v>1</v>
      </c>
      <c r="E284">
        <v>593</v>
      </c>
      <c r="F284" s="1">
        <v>4.9709560335945024</v>
      </c>
    </row>
    <row r="285" spans="1:6" x14ac:dyDescent="0.2">
      <c r="A285">
        <v>646173</v>
      </c>
      <c r="B285">
        <v>18</v>
      </c>
      <c r="C285" t="s">
        <v>5</v>
      </c>
      <c r="D285">
        <v>2</v>
      </c>
      <c r="E285">
        <v>600</v>
      </c>
      <c r="F285" s="1">
        <v>5.1808418089854094</v>
      </c>
    </row>
    <row r="286" spans="1:6" x14ac:dyDescent="0.2">
      <c r="A286">
        <v>652288</v>
      </c>
      <c r="B286">
        <v>18</v>
      </c>
      <c r="C286" t="s">
        <v>5</v>
      </c>
      <c r="D286">
        <v>1</v>
      </c>
      <c r="E286">
        <v>620</v>
      </c>
      <c r="F286" s="1">
        <v>4.9487398284815773</v>
      </c>
    </row>
    <row r="287" spans="1:6" x14ac:dyDescent="0.2">
      <c r="A287">
        <v>652327</v>
      </c>
      <c r="B287">
        <v>18</v>
      </c>
      <c r="C287" t="s">
        <v>5</v>
      </c>
      <c r="D287">
        <v>2</v>
      </c>
      <c r="E287">
        <v>536</v>
      </c>
      <c r="F287" s="1">
        <v>4.8946565969090603</v>
      </c>
    </row>
    <row r="288" spans="1:6" x14ac:dyDescent="0.2">
      <c r="A288">
        <v>659232</v>
      </c>
      <c r="B288">
        <v>19</v>
      </c>
      <c r="C288" t="s">
        <v>5</v>
      </c>
      <c r="D288">
        <v>2</v>
      </c>
      <c r="E288">
        <v>630</v>
      </c>
      <c r="F288" s="1">
        <v>5.6689755503665031</v>
      </c>
    </row>
    <row r="289" spans="1:6" x14ac:dyDescent="0.2">
      <c r="A289">
        <v>661460</v>
      </c>
      <c r="B289">
        <v>20</v>
      </c>
      <c r="C289" t="s">
        <v>5</v>
      </c>
      <c r="D289">
        <v>2</v>
      </c>
      <c r="E289">
        <v>567</v>
      </c>
      <c r="F289" s="1">
        <v>4.7673408542503166</v>
      </c>
    </row>
    <row r="290" spans="1:6" x14ac:dyDescent="0.2">
      <c r="A290">
        <v>665275</v>
      </c>
      <c r="B290">
        <v>18</v>
      </c>
      <c r="C290" t="s">
        <v>5</v>
      </c>
      <c r="D290">
        <v>2</v>
      </c>
      <c r="E290">
        <v>593</v>
      </c>
      <c r="F290" s="1">
        <v>4.6150140787572376</v>
      </c>
    </row>
    <row r="291" spans="1:6" x14ac:dyDescent="0.2">
      <c r="A291">
        <v>668269</v>
      </c>
      <c r="B291">
        <v>23</v>
      </c>
      <c r="C291" t="s">
        <v>5</v>
      </c>
      <c r="D291">
        <v>3</v>
      </c>
      <c r="E291">
        <v>690</v>
      </c>
      <c r="F291" s="1">
        <v>5.6728232675512436</v>
      </c>
    </row>
    <row r="292" spans="1:6" x14ac:dyDescent="0.2">
      <c r="A292">
        <v>676150</v>
      </c>
      <c r="B292">
        <v>19</v>
      </c>
      <c r="C292" t="s">
        <v>5</v>
      </c>
      <c r="D292">
        <v>2</v>
      </c>
      <c r="E292">
        <v>598</v>
      </c>
      <c r="F292" s="1">
        <v>5.1147067756108173</v>
      </c>
    </row>
    <row r="293" spans="1:6" x14ac:dyDescent="0.2">
      <c r="A293">
        <v>686466</v>
      </c>
      <c r="B293">
        <v>23</v>
      </c>
      <c r="C293" t="s">
        <v>5</v>
      </c>
      <c r="D293">
        <v>1</v>
      </c>
      <c r="E293">
        <v>530</v>
      </c>
      <c r="F293" s="1">
        <v>4.4266540599824022</v>
      </c>
    </row>
    <row r="294" spans="1:6" x14ac:dyDescent="0.2">
      <c r="A294">
        <v>691535</v>
      </c>
      <c r="B294">
        <v>18</v>
      </c>
      <c r="C294" t="s">
        <v>5</v>
      </c>
      <c r="D294">
        <v>1</v>
      </c>
      <c r="E294">
        <v>600</v>
      </c>
      <c r="F294" s="1">
        <v>4.7992886157113688</v>
      </c>
    </row>
    <row r="295" spans="1:6" x14ac:dyDescent="0.2">
      <c r="A295">
        <v>692003</v>
      </c>
      <c r="B295">
        <v>20</v>
      </c>
      <c r="C295" t="s">
        <v>5</v>
      </c>
      <c r="D295">
        <v>2</v>
      </c>
      <c r="E295">
        <v>510</v>
      </c>
      <c r="F295" s="1">
        <v>4.5806377434741288</v>
      </c>
    </row>
    <row r="296" spans="1:6" x14ac:dyDescent="0.2">
      <c r="A296">
        <v>694002</v>
      </c>
      <c r="B296">
        <v>18</v>
      </c>
      <c r="C296" t="s">
        <v>5</v>
      </c>
      <c r="D296">
        <v>2</v>
      </c>
      <c r="E296">
        <v>612</v>
      </c>
      <c r="F296" s="1">
        <v>4.6600839741621565</v>
      </c>
    </row>
    <row r="297" spans="1:6" x14ac:dyDescent="0.2">
      <c r="A297">
        <v>714322</v>
      </c>
      <c r="B297">
        <v>18</v>
      </c>
      <c r="C297" t="s">
        <v>5</v>
      </c>
      <c r="D297">
        <v>1</v>
      </c>
      <c r="E297">
        <v>657</v>
      </c>
      <c r="F297" s="1">
        <v>5.5556913415561437</v>
      </c>
    </row>
    <row r="298" spans="1:6" x14ac:dyDescent="0.2">
      <c r="A298">
        <v>728019</v>
      </c>
      <c r="B298">
        <v>19</v>
      </c>
      <c r="C298" t="s">
        <v>5</v>
      </c>
      <c r="D298">
        <v>2</v>
      </c>
      <c r="E298">
        <v>632</v>
      </c>
      <c r="F298" s="1">
        <v>4.8628489472561478</v>
      </c>
    </row>
    <row r="299" spans="1:6" x14ac:dyDescent="0.2">
      <c r="A299">
        <v>728019</v>
      </c>
      <c r="B299">
        <v>19</v>
      </c>
      <c r="C299" t="s">
        <v>5</v>
      </c>
      <c r="D299">
        <v>2</v>
      </c>
      <c r="E299">
        <v>632</v>
      </c>
      <c r="F299" s="1">
        <v>4.8628489472561478</v>
      </c>
    </row>
    <row r="300" spans="1:6" x14ac:dyDescent="0.2">
      <c r="A300">
        <v>734677</v>
      </c>
      <c r="B300">
        <v>18</v>
      </c>
      <c r="C300" t="s">
        <v>5</v>
      </c>
      <c r="D300">
        <v>2</v>
      </c>
      <c r="E300">
        <v>630</v>
      </c>
      <c r="F300" s="1">
        <v>5.0482627424652655</v>
      </c>
    </row>
    <row r="301" spans="1:6" x14ac:dyDescent="0.2">
      <c r="A301">
        <v>736902</v>
      </c>
      <c r="B301">
        <v>18</v>
      </c>
      <c r="C301" t="s">
        <v>5</v>
      </c>
      <c r="D301">
        <v>2</v>
      </c>
      <c r="E301">
        <v>620</v>
      </c>
      <c r="F301" s="1">
        <v>5.3171899614383253</v>
      </c>
    </row>
    <row r="302" spans="1:6" x14ac:dyDescent="0.2">
      <c r="A302">
        <v>748858</v>
      </c>
      <c r="B302">
        <v>25</v>
      </c>
      <c r="C302" t="s">
        <v>5</v>
      </c>
      <c r="D302">
        <v>3</v>
      </c>
      <c r="E302">
        <v>600</v>
      </c>
      <c r="F302" s="1">
        <v>4.8833092977844181</v>
      </c>
    </row>
    <row r="303" spans="1:6" x14ac:dyDescent="0.2">
      <c r="A303">
        <v>750512</v>
      </c>
      <c r="B303">
        <v>18</v>
      </c>
      <c r="C303" t="s">
        <v>5</v>
      </c>
      <c r="D303">
        <v>1</v>
      </c>
      <c r="E303">
        <v>573</v>
      </c>
      <c r="F303" s="1">
        <v>4.8324880695845565</v>
      </c>
    </row>
    <row r="304" spans="1:6" x14ac:dyDescent="0.2">
      <c r="A304">
        <v>751282</v>
      </c>
      <c r="B304">
        <v>20</v>
      </c>
      <c r="C304" t="s">
        <v>5</v>
      </c>
      <c r="D304">
        <v>2</v>
      </c>
      <c r="E304">
        <v>626</v>
      </c>
      <c r="F304" s="1">
        <v>4.9583979453041014</v>
      </c>
    </row>
    <row r="305" spans="1:6" x14ac:dyDescent="0.2">
      <c r="A305">
        <v>753860</v>
      </c>
      <c r="B305">
        <v>18</v>
      </c>
      <c r="C305" t="s">
        <v>5</v>
      </c>
      <c r="D305">
        <v>2</v>
      </c>
      <c r="E305">
        <v>580</v>
      </c>
      <c r="F305" s="1">
        <v>4.7922676614453978</v>
      </c>
    </row>
    <row r="306" spans="1:6" x14ac:dyDescent="0.2">
      <c r="A306">
        <v>755675</v>
      </c>
      <c r="B306">
        <v>18</v>
      </c>
      <c r="C306" t="s">
        <v>5</v>
      </c>
      <c r="D306">
        <v>2</v>
      </c>
      <c r="E306">
        <v>557</v>
      </c>
      <c r="F306" s="1"/>
    </row>
    <row r="307" spans="1:6" x14ac:dyDescent="0.2">
      <c r="A307">
        <v>762226</v>
      </c>
      <c r="B307">
        <v>18</v>
      </c>
      <c r="C307" t="s">
        <v>5</v>
      </c>
      <c r="D307">
        <v>2</v>
      </c>
      <c r="E307">
        <v>623</v>
      </c>
      <c r="F307" s="1">
        <v>5.1488159922419161</v>
      </c>
    </row>
    <row r="308" spans="1:6" x14ac:dyDescent="0.2">
      <c r="A308">
        <v>763479</v>
      </c>
      <c r="B308">
        <v>18</v>
      </c>
      <c r="C308" t="s">
        <v>5</v>
      </c>
      <c r="D308">
        <v>2</v>
      </c>
      <c r="E308">
        <v>590</v>
      </c>
      <c r="F308" s="1">
        <v>4.7937917133533219</v>
      </c>
    </row>
    <row r="309" spans="1:6" x14ac:dyDescent="0.2">
      <c r="A309">
        <v>768297</v>
      </c>
      <c r="B309">
        <v>19</v>
      </c>
      <c r="C309" t="s">
        <v>5</v>
      </c>
      <c r="D309">
        <v>2</v>
      </c>
      <c r="E309">
        <v>515</v>
      </c>
      <c r="F309" s="1">
        <v>4.3234852580956398</v>
      </c>
    </row>
    <row r="310" spans="1:6" x14ac:dyDescent="0.2">
      <c r="A310">
        <v>778511</v>
      </c>
      <c r="B310">
        <v>17</v>
      </c>
      <c r="C310" t="s">
        <v>5</v>
      </c>
      <c r="D310">
        <v>2</v>
      </c>
      <c r="E310">
        <v>620</v>
      </c>
      <c r="F310" s="1">
        <v>4.768312750665233</v>
      </c>
    </row>
    <row r="311" spans="1:6" x14ac:dyDescent="0.2">
      <c r="A311">
        <v>786047</v>
      </c>
      <c r="B311">
        <v>19</v>
      </c>
      <c r="C311" t="s">
        <v>5</v>
      </c>
      <c r="D311">
        <v>1</v>
      </c>
      <c r="E311">
        <v>600</v>
      </c>
      <c r="F311" s="1">
        <v>4.8336613440235476</v>
      </c>
    </row>
    <row r="312" spans="1:6" x14ac:dyDescent="0.2">
      <c r="A312">
        <v>788615</v>
      </c>
      <c r="B312">
        <v>18</v>
      </c>
      <c r="C312" t="s">
        <v>5</v>
      </c>
      <c r="D312">
        <v>1</v>
      </c>
      <c r="E312">
        <v>570</v>
      </c>
      <c r="F312" s="1">
        <v>4.8123575348107206</v>
      </c>
    </row>
    <row r="313" spans="1:6" x14ac:dyDescent="0.2">
      <c r="A313">
        <v>799963</v>
      </c>
      <c r="B313">
        <v>18</v>
      </c>
      <c r="C313" t="s">
        <v>5</v>
      </c>
      <c r="D313">
        <v>1</v>
      </c>
      <c r="E313">
        <v>653</v>
      </c>
      <c r="F313" s="1">
        <v>5.4132126738333977</v>
      </c>
    </row>
    <row r="314" spans="1:6" x14ac:dyDescent="0.2">
      <c r="A314">
        <v>808031</v>
      </c>
      <c r="B314">
        <v>19</v>
      </c>
      <c r="C314" t="s">
        <v>5</v>
      </c>
      <c r="D314">
        <v>2</v>
      </c>
      <c r="E314">
        <v>555</v>
      </c>
      <c r="F314" s="1">
        <v>4.4384172314101491</v>
      </c>
    </row>
    <row r="315" spans="1:6" x14ac:dyDescent="0.2">
      <c r="A315">
        <v>821897</v>
      </c>
      <c r="B315">
        <v>27</v>
      </c>
      <c r="C315" t="s">
        <v>5</v>
      </c>
      <c r="D315">
        <v>2</v>
      </c>
      <c r="E315">
        <v>565</v>
      </c>
      <c r="F315" s="1">
        <v>4.8929203173776816</v>
      </c>
    </row>
    <row r="316" spans="1:6" x14ac:dyDescent="0.2">
      <c r="A316">
        <v>821897</v>
      </c>
      <c r="B316">
        <v>27</v>
      </c>
      <c r="C316" t="s">
        <v>5</v>
      </c>
      <c r="D316">
        <v>2</v>
      </c>
      <c r="E316">
        <v>565</v>
      </c>
      <c r="F316" s="1">
        <v>4.8929203173776816</v>
      </c>
    </row>
    <row r="317" spans="1:6" x14ac:dyDescent="0.2">
      <c r="A317">
        <v>826477</v>
      </c>
      <c r="B317">
        <v>19</v>
      </c>
      <c r="C317" t="s">
        <v>5</v>
      </c>
      <c r="D317">
        <v>1</v>
      </c>
      <c r="E317">
        <v>672</v>
      </c>
      <c r="F317" s="1">
        <v>5.1747331977014657</v>
      </c>
    </row>
    <row r="318" spans="1:6" x14ac:dyDescent="0.2">
      <c r="A318">
        <v>835463</v>
      </c>
      <c r="B318">
        <v>18</v>
      </c>
      <c r="C318" t="s">
        <v>5</v>
      </c>
      <c r="D318">
        <v>2</v>
      </c>
      <c r="E318">
        <v>575</v>
      </c>
      <c r="F318" s="1">
        <v>4.9734282177028062</v>
      </c>
    </row>
    <row r="319" spans="1:6" x14ac:dyDescent="0.2">
      <c r="A319">
        <v>845222</v>
      </c>
      <c r="B319">
        <v>19</v>
      </c>
      <c r="C319" t="s">
        <v>5</v>
      </c>
      <c r="D319">
        <v>1</v>
      </c>
      <c r="E319">
        <v>637</v>
      </c>
      <c r="F319" s="1">
        <v>5.4694394671081827</v>
      </c>
    </row>
    <row r="320" spans="1:6" x14ac:dyDescent="0.2">
      <c r="A320">
        <v>849752</v>
      </c>
      <c r="B320">
        <v>18</v>
      </c>
      <c r="C320" t="s">
        <v>5</v>
      </c>
      <c r="D320">
        <v>2</v>
      </c>
      <c r="E320">
        <v>595</v>
      </c>
      <c r="F320" s="1">
        <v>4.9729548297531565</v>
      </c>
    </row>
    <row r="321" spans="1:6" x14ac:dyDescent="0.2">
      <c r="A321">
        <v>856886</v>
      </c>
      <c r="B321">
        <v>18</v>
      </c>
      <c r="C321" t="s">
        <v>5</v>
      </c>
      <c r="D321">
        <v>1</v>
      </c>
      <c r="E321">
        <v>641</v>
      </c>
      <c r="F321" s="1">
        <v>6.0793929398197335</v>
      </c>
    </row>
    <row r="322" spans="1:6" x14ac:dyDescent="0.2">
      <c r="A322">
        <v>858611</v>
      </c>
      <c r="B322">
        <v>24</v>
      </c>
      <c r="C322" t="s">
        <v>5</v>
      </c>
      <c r="D322">
        <v>2</v>
      </c>
      <c r="E322">
        <v>530</v>
      </c>
      <c r="F322" s="1">
        <v>4.612981504154309</v>
      </c>
    </row>
    <row r="323" spans="1:6" x14ac:dyDescent="0.2">
      <c r="A323">
        <v>858611</v>
      </c>
      <c r="B323">
        <v>24</v>
      </c>
      <c r="C323" t="s">
        <v>5</v>
      </c>
      <c r="D323">
        <v>2</v>
      </c>
      <c r="E323">
        <v>530</v>
      </c>
      <c r="F323" s="1">
        <v>4.612981504154309</v>
      </c>
    </row>
    <row r="324" spans="1:6" x14ac:dyDescent="0.2">
      <c r="A324">
        <v>865627</v>
      </c>
      <c r="B324">
        <v>18</v>
      </c>
      <c r="C324" t="s">
        <v>5</v>
      </c>
      <c r="D324">
        <v>1</v>
      </c>
      <c r="E324">
        <v>683</v>
      </c>
      <c r="F324" s="1">
        <v>5.9781151612713561</v>
      </c>
    </row>
    <row r="325" spans="1:6" x14ac:dyDescent="0.2">
      <c r="A325">
        <v>871370</v>
      </c>
      <c r="B325">
        <v>20</v>
      </c>
      <c r="C325" t="s">
        <v>5</v>
      </c>
      <c r="D325">
        <v>2</v>
      </c>
      <c r="E325">
        <v>580</v>
      </c>
      <c r="F325" s="1">
        <v>5.2578769334998938</v>
      </c>
    </row>
    <row r="326" spans="1:6" x14ac:dyDescent="0.2">
      <c r="A326">
        <v>872159</v>
      </c>
      <c r="B326">
        <v>18</v>
      </c>
      <c r="C326" t="s">
        <v>5</v>
      </c>
      <c r="D326">
        <v>1</v>
      </c>
      <c r="E326">
        <v>605</v>
      </c>
      <c r="F326" s="1"/>
    </row>
    <row r="327" spans="1:6" x14ac:dyDescent="0.2">
      <c r="A327">
        <v>877922</v>
      </c>
      <c r="B327">
        <v>19</v>
      </c>
      <c r="C327" t="s">
        <v>5</v>
      </c>
      <c r="D327">
        <v>2</v>
      </c>
      <c r="E327">
        <v>643</v>
      </c>
      <c r="F327" s="1">
        <v>5.0569905097065417</v>
      </c>
    </row>
    <row r="328" spans="1:6" x14ac:dyDescent="0.2">
      <c r="A328">
        <v>880358</v>
      </c>
      <c r="B328">
        <v>19</v>
      </c>
      <c r="C328" t="s">
        <v>5</v>
      </c>
      <c r="D328">
        <v>2</v>
      </c>
      <c r="E328">
        <v>593</v>
      </c>
      <c r="F328" s="1">
        <v>5.1471152426146585</v>
      </c>
    </row>
    <row r="329" spans="1:6" x14ac:dyDescent="0.2">
      <c r="A329">
        <v>886455</v>
      </c>
      <c r="B329">
        <v>18</v>
      </c>
      <c r="C329" t="s">
        <v>5</v>
      </c>
      <c r="D329">
        <v>2</v>
      </c>
      <c r="E329">
        <v>502</v>
      </c>
      <c r="F329" s="1">
        <v>4.2631531036947079</v>
      </c>
    </row>
    <row r="330" spans="1:6" x14ac:dyDescent="0.2">
      <c r="A330">
        <v>886853</v>
      </c>
      <c r="B330">
        <v>18</v>
      </c>
      <c r="C330" t="s">
        <v>5</v>
      </c>
      <c r="D330">
        <v>2</v>
      </c>
      <c r="E330">
        <v>657</v>
      </c>
      <c r="F330" s="1">
        <v>5.5369174610497494</v>
      </c>
    </row>
    <row r="331" spans="1:6" x14ac:dyDescent="0.2">
      <c r="A331">
        <v>887976</v>
      </c>
      <c r="B331">
        <v>20</v>
      </c>
      <c r="C331" t="s">
        <v>5</v>
      </c>
      <c r="D331">
        <v>2</v>
      </c>
      <c r="E331">
        <v>542</v>
      </c>
      <c r="F331" s="1">
        <v>4.2980039709600097</v>
      </c>
    </row>
    <row r="332" spans="1:6" x14ac:dyDescent="0.2">
      <c r="A332">
        <v>893143</v>
      </c>
      <c r="B332">
        <v>19</v>
      </c>
      <c r="C332" t="s">
        <v>5</v>
      </c>
      <c r="D332">
        <v>2</v>
      </c>
      <c r="E332">
        <v>578</v>
      </c>
      <c r="F332" s="1">
        <v>4.3257073246365563</v>
      </c>
    </row>
    <row r="333" spans="1:6" x14ac:dyDescent="0.2">
      <c r="A333">
        <v>904589</v>
      </c>
      <c r="B333">
        <v>19</v>
      </c>
      <c r="C333" t="s">
        <v>5</v>
      </c>
      <c r="D333">
        <v>2</v>
      </c>
      <c r="E333">
        <v>650</v>
      </c>
      <c r="F333" s="1">
        <v>5.0969278932949154</v>
      </c>
    </row>
    <row r="334" spans="1:6" x14ac:dyDescent="0.2">
      <c r="A334">
        <v>906184</v>
      </c>
      <c r="B334">
        <v>18</v>
      </c>
      <c r="C334" t="s">
        <v>5</v>
      </c>
      <c r="D334">
        <v>2</v>
      </c>
      <c r="E334">
        <v>505</v>
      </c>
      <c r="F334" s="1">
        <v>4.6394789959391183</v>
      </c>
    </row>
    <row r="335" spans="1:6" x14ac:dyDescent="0.2">
      <c r="A335">
        <v>907254</v>
      </c>
      <c r="B335">
        <v>19</v>
      </c>
      <c r="C335" t="s">
        <v>5</v>
      </c>
      <c r="D335">
        <v>2</v>
      </c>
      <c r="E335">
        <v>620</v>
      </c>
      <c r="F335" s="1">
        <v>5.2711342148085079</v>
      </c>
    </row>
    <row r="336" spans="1:6" x14ac:dyDescent="0.2">
      <c r="A336">
        <v>910906</v>
      </c>
      <c r="B336">
        <v>18</v>
      </c>
      <c r="C336" t="s">
        <v>5</v>
      </c>
      <c r="D336">
        <v>2</v>
      </c>
      <c r="E336">
        <v>635</v>
      </c>
      <c r="F336" s="1">
        <v>5.0599107420093015</v>
      </c>
    </row>
    <row r="337" spans="1:6" x14ac:dyDescent="0.2">
      <c r="A337">
        <v>911761</v>
      </c>
      <c r="B337">
        <v>23</v>
      </c>
      <c r="C337" t="s">
        <v>5</v>
      </c>
      <c r="D337">
        <v>3</v>
      </c>
      <c r="E337">
        <v>602</v>
      </c>
      <c r="F337" s="1">
        <v>5.3279368853776869</v>
      </c>
    </row>
    <row r="338" spans="1:6" x14ac:dyDescent="0.2">
      <c r="A338">
        <v>917031</v>
      </c>
      <c r="B338">
        <v>19</v>
      </c>
      <c r="C338" t="s">
        <v>5</v>
      </c>
      <c r="D338">
        <v>2</v>
      </c>
      <c r="E338">
        <v>580</v>
      </c>
      <c r="F338" s="1">
        <v>4.8488153887139873</v>
      </c>
    </row>
    <row r="339" spans="1:6" x14ac:dyDescent="0.2">
      <c r="A339">
        <v>921772</v>
      </c>
      <c r="B339">
        <v>19</v>
      </c>
      <c r="C339" t="s">
        <v>5</v>
      </c>
      <c r="D339">
        <v>2</v>
      </c>
      <c r="E339">
        <v>608</v>
      </c>
      <c r="F339" s="1">
        <v>4.8462496795565713</v>
      </c>
    </row>
    <row r="340" spans="1:6" x14ac:dyDescent="0.2">
      <c r="A340">
        <v>921772</v>
      </c>
      <c r="B340">
        <v>19</v>
      </c>
      <c r="C340" t="s">
        <v>5</v>
      </c>
      <c r="D340">
        <v>2</v>
      </c>
      <c r="E340">
        <v>608</v>
      </c>
      <c r="F340" s="1">
        <v>4.8462496795565713</v>
      </c>
    </row>
    <row r="341" spans="1:6" x14ac:dyDescent="0.2">
      <c r="A341">
        <v>922115</v>
      </c>
      <c r="B341">
        <v>20</v>
      </c>
      <c r="C341" t="s">
        <v>5</v>
      </c>
      <c r="D341">
        <v>2</v>
      </c>
      <c r="E341">
        <v>570</v>
      </c>
      <c r="F341" s="1">
        <v>4.9507139360655668</v>
      </c>
    </row>
    <row r="342" spans="1:6" x14ac:dyDescent="0.2">
      <c r="A342">
        <v>923468</v>
      </c>
      <c r="B342">
        <v>19</v>
      </c>
      <c r="C342" t="s">
        <v>5</v>
      </c>
      <c r="D342">
        <v>2</v>
      </c>
      <c r="E342">
        <v>597</v>
      </c>
      <c r="F342" s="1">
        <v>5.1274743307852653</v>
      </c>
    </row>
    <row r="343" spans="1:6" x14ac:dyDescent="0.2">
      <c r="A343">
        <v>951790</v>
      </c>
      <c r="B343">
        <v>19</v>
      </c>
      <c r="C343" t="s">
        <v>5</v>
      </c>
      <c r="D343">
        <v>2</v>
      </c>
      <c r="E343">
        <v>535</v>
      </c>
      <c r="F343" s="1">
        <v>4.9339504344429326</v>
      </c>
    </row>
    <row r="344" spans="1:6" x14ac:dyDescent="0.2">
      <c r="A344">
        <v>963783</v>
      </c>
      <c r="B344">
        <v>23</v>
      </c>
      <c r="C344" t="s">
        <v>5</v>
      </c>
      <c r="D344">
        <v>2</v>
      </c>
      <c r="E344">
        <v>520</v>
      </c>
      <c r="F344" s="1">
        <v>4.4862268860481755</v>
      </c>
    </row>
    <row r="345" spans="1:6" x14ac:dyDescent="0.2">
      <c r="A345">
        <v>971705</v>
      </c>
      <c r="B345">
        <v>20</v>
      </c>
      <c r="C345" t="s">
        <v>5</v>
      </c>
      <c r="D345">
        <v>2</v>
      </c>
      <c r="E345">
        <v>545</v>
      </c>
      <c r="F345" s="1">
        <v>4.2668696364966481</v>
      </c>
    </row>
    <row r="346" spans="1:6" x14ac:dyDescent="0.2">
      <c r="A346">
        <v>974884</v>
      </c>
      <c r="B346">
        <v>19</v>
      </c>
      <c r="C346" t="s">
        <v>5</v>
      </c>
      <c r="D346">
        <v>2</v>
      </c>
      <c r="E346">
        <v>600</v>
      </c>
      <c r="F346" s="1">
        <v>5.360763487672024</v>
      </c>
    </row>
    <row r="347" spans="1:6" x14ac:dyDescent="0.2">
      <c r="A347">
        <v>992104</v>
      </c>
      <c r="B347">
        <v>20</v>
      </c>
      <c r="C347" t="s">
        <v>5</v>
      </c>
      <c r="D347">
        <v>2</v>
      </c>
      <c r="E347">
        <v>540</v>
      </c>
      <c r="F347" s="1">
        <v>4.4720764173146677</v>
      </c>
    </row>
    <row r="348" spans="1:6" x14ac:dyDescent="0.2">
      <c r="A348">
        <v>999424</v>
      </c>
      <c r="B348">
        <v>18</v>
      </c>
      <c r="C348" t="s">
        <v>5</v>
      </c>
      <c r="D348">
        <v>2</v>
      </c>
      <c r="E348">
        <v>615</v>
      </c>
      <c r="F348" s="1">
        <v>4.983875033919313</v>
      </c>
    </row>
    <row r="349" spans="1:6" x14ac:dyDescent="0.2">
      <c r="A349">
        <v>1000781</v>
      </c>
      <c r="B349">
        <v>18</v>
      </c>
      <c r="C349" t="s">
        <v>5</v>
      </c>
      <c r="D349">
        <v>2</v>
      </c>
      <c r="E349">
        <v>635</v>
      </c>
      <c r="F349" s="1">
        <v>4.6887397392818837</v>
      </c>
    </row>
    <row r="350" spans="1:6" x14ac:dyDescent="0.2">
      <c r="A350">
        <v>1012857</v>
      </c>
      <c r="B350">
        <v>19</v>
      </c>
      <c r="C350" t="s">
        <v>5</v>
      </c>
      <c r="D350">
        <v>2</v>
      </c>
      <c r="E350">
        <v>638</v>
      </c>
      <c r="F350" s="1">
        <v>5.1471647704935828</v>
      </c>
    </row>
    <row r="351" spans="1:6" x14ac:dyDescent="0.2">
      <c r="A351">
        <v>1016678</v>
      </c>
      <c r="B351">
        <v>18</v>
      </c>
      <c r="C351" t="s">
        <v>5</v>
      </c>
      <c r="D351">
        <v>2</v>
      </c>
      <c r="E351">
        <v>625</v>
      </c>
      <c r="F351" s="1"/>
    </row>
  </sheetData>
  <conditionalFormatting sqref="A1:A1048576">
    <cfRule type="duplicateValues" dxfId="22" priority="1"/>
  </conditionalFormatting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0DED7-8D8D-C744-AE2C-47F11A785397}">
  <dimension ref="A1:N332"/>
  <sheetViews>
    <sheetView tabSelected="1" topLeftCell="C1" zoomScale="90" zoomScaleNormal="90" workbookViewId="0">
      <selection activeCell="J19" sqref="J19:P35"/>
    </sheetView>
  </sheetViews>
  <sheetFormatPr baseColWidth="10" defaultRowHeight="16" x14ac:dyDescent="0.2"/>
  <cols>
    <col min="7" max="7" width="10.83203125" style="7"/>
  </cols>
  <sheetData>
    <row r="1" spans="1:14" x14ac:dyDescent="0.2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6</v>
      </c>
      <c r="G1" s="7" t="s">
        <v>6</v>
      </c>
      <c r="I1" t="s">
        <v>24</v>
      </c>
    </row>
    <row r="2" spans="1:14" x14ac:dyDescent="0.2">
      <c r="A2">
        <v>3592</v>
      </c>
      <c r="B2">
        <v>19</v>
      </c>
      <c r="C2" t="s">
        <v>4</v>
      </c>
      <c r="D2">
        <v>1</v>
      </c>
      <c r="E2">
        <v>570</v>
      </c>
      <c r="F2" s="1">
        <v>4.5901103674081298</v>
      </c>
      <c r="G2" s="8">
        <v>4.5901103674081298</v>
      </c>
      <c r="I2" t="s">
        <v>1</v>
      </c>
      <c r="J2" t="s">
        <v>7</v>
      </c>
      <c r="K2" t="s">
        <v>2</v>
      </c>
      <c r="L2" t="s">
        <v>3</v>
      </c>
      <c r="M2" t="s">
        <v>6</v>
      </c>
      <c r="N2" s="7" t="s">
        <v>6</v>
      </c>
    </row>
    <row r="3" spans="1:14" x14ac:dyDescent="0.2">
      <c r="A3">
        <v>20890</v>
      </c>
      <c r="B3">
        <v>19</v>
      </c>
      <c r="C3" t="s">
        <v>4</v>
      </c>
      <c r="D3">
        <v>2</v>
      </c>
      <c r="E3">
        <v>612</v>
      </c>
      <c r="F3" s="1">
        <v>5.2624467919022671</v>
      </c>
      <c r="G3" s="8">
        <v>5.2624467919022671</v>
      </c>
      <c r="I3">
        <f>COUNTBLANK(B2:B332)</f>
        <v>9</v>
      </c>
      <c r="J3">
        <f t="shared" ref="J3:N3" si="0">COUNTBLANK(C2:C332)</f>
        <v>0</v>
      </c>
      <c r="K3">
        <f t="shared" si="0"/>
        <v>0</v>
      </c>
      <c r="L3">
        <f t="shared" si="0"/>
        <v>0</v>
      </c>
      <c r="M3">
        <f t="shared" si="0"/>
        <v>8</v>
      </c>
      <c r="N3">
        <f t="shared" si="0"/>
        <v>8</v>
      </c>
    </row>
    <row r="4" spans="1:14" x14ac:dyDescent="0.2">
      <c r="A4">
        <v>34531</v>
      </c>
      <c r="B4">
        <v>18</v>
      </c>
      <c r="C4" t="s">
        <v>4</v>
      </c>
      <c r="D4">
        <v>2</v>
      </c>
      <c r="E4">
        <v>653</v>
      </c>
      <c r="F4" s="1">
        <v>5.4006997595567929</v>
      </c>
      <c r="G4" s="8">
        <v>5.4006997595567929</v>
      </c>
    </row>
    <row r="5" spans="1:14" x14ac:dyDescent="0.2">
      <c r="A5">
        <v>51189</v>
      </c>
      <c r="B5">
        <v>18</v>
      </c>
      <c r="C5" t="s">
        <v>4</v>
      </c>
      <c r="D5">
        <v>2</v>
      </c>
      <c r="E5">
        <v>660</v>
      </c>
      <c r="F5" s="1">
        <v>5.7479813126271537</v>
      </c>
      <c r="G5" s="8">
        <v>5.7479813126271537</v>
      </c>
    </row>
    <row r="6" spans="1:14" x14ac:dyDescent="0.2">
      <c r="A6">
        <v>52404</v>
      </c>
      <c r="B6">
        <v>19</v>
      </c>
      <c r="C6" t="s">
        <v>4</v>
      </c>
      <c r="D6">
        <v>1</v>
      </c>
      <c r="E6">
        <v>630</v>
      </c>
      <c r="F6" s="1">
        <v>5.4246983893074718</v>
      </c>
      <c r="G6" s="8">
        <v>5.4246983893074718</v>
      </c>
    </row>
    <row r="7" spans="1:14" x14ac:dyDescent="0.2">
      <c r="A7">
        <v>67752</v>
      </c>
      <c r="B7">
        <v>19</v>
      </c>
      <c r="C7" t="s">
        <v>4</v>
      </c>
      <c r="D7">
        <v>1</v>
      </c>
      <c r="E7">
        <v>653</v>
      </c>
      <c r="F7" s="1">
        <v>5.453464567925236</v>
      </c>
      <c r="G7" s="8">
        <v>5.453464567925236</v>
      </c>
      <c r="K7" s="7"/>
    </row>
    <row r="8" spans="1:14" x14ac:dyDescent="0.2">
      <c r="A8">
        <v>71482</v>
      </c>
      <c r="B8">
        <v>19</v>
      </c>
      <c r="C8" t="s">
        <v>4</v>
      </c>
      <c r="D8">
        <v>2</v>
      </c>
      <c r="E8">
        <v>567</v>
      </c>
      <c r="F8" s="1">
        <v>4.2614194535972443</v>
      </c>
      <c r="G8" s="8">
        <v>4.2614194535972443</v>
      </c>
    </row>
    <row r="9" spans="1:14" x14ac:dyDescent="0.2">
      <c r="A9">
        <v>72287</v>
      </c>
      <c r="B9">
        <v>18</v>
      </c>
      <c r="C9" t="s">
        <v>4</v>
      </c>
      <c r="D9">
        <v>1</v>
      </c>
      <c r="E9">
        <v>576</v>
      </c>
      <c r="F9" s="1">
        <v>4.9457416345462777</v>
      </c>
      <c r="G9" s="8">
        <v>4.9457416345462777</v>
      </c>
    </row>
    <row r="10" spans="1:14" x14ac:dyDescent="0.2">
      <c r="A10">
        <v>75301</v>
      </c>
      <c r="B10">
        <v>19</v>
      </c>
      <c r="C10" t="s">
        <v>4</v>
      </c>
      <c r="D10">
        <v>1</v>
      </c>
      <c r="E10">
        <v>593</v>
      </c>
      <c r="F10" s="1">
        <v>5.0778289896022688</v>
      </c>
      <c r="G10" s="8">
        <v>5.0778289896022688</v>
      </c>
    </row>
    <row r="11" spans="1:14" x14ac:dyDescent="0.2">
      <c r="A11">
        <v>95116</v>
      </c>
      <c r="B11">
        <v>18</v>
      </c>
      <c r="C11" t="s">
        <v>4</v>
      </c>
      <c r="D11">
        <v>2</v>
      </c>
      <c r="E11">
        <v>640</v>
      </c>
      <c r="F11" s="1">
        <v>5.1674642345158617</v>
      </c>
      <c r="G11" s="8">
        <v>5.1674642345158617</v>
      </c>
    </row>
    <row r="12" spans="1:14" x14ac:dyDescent="0.2">
      <c r="A12">
        <v>99330</v>
      </c>
      <c r="B12">
        <v>18</v>
      </c>
      <c r="C12" t="s">
        <v>4</v>
      </c>
      <c r="D12">
        <v>1</v>
      </c>
      <c r="E12">
        <v>640</v>
      </c>
      <c r="F12" s="1">
        <v>5.4288162056951883</v>
      </c>
      <c r="G12" s="8">
        <v>5.4288162056951883</v>
      </c>
    </row>
    <row r="13" spans="1:14" x14ac:dyDescent="0.2">
      <c r="A13">
        <v>99461</v>
      </c>
      <c r="B13">
        <v>18</v>
      </c>
      <c r="C13" t="s">
        <v>4</v>
      </c>
      <c r="D13">
        <v>2</v>
      </c>
      <c r="E13">
        <v>615</v>
      </c>
      <c r="F13" s="1">
        <v>4.9278497163858095</v>
      </c>
      <c r="G13" s="8">
        <v>4.9278497163858095</v>
      </c>
    </row>
    <row r="14" spans="1:14" x14ac:dyDescent="0.2">
      <c r="A14">
        <v>116290</v>
      </c>
      <c r="B14">
        <v>19</v>
      </c>
      <c r="C14" t="s">
        <v>4</v>
      </c>
      <c r="D14">
        <v>2</v>
      </c>
      <c r="E14">
        <v>550</v>
      </c>
      <c r="F14" s="1">
        <v>4.9563337129665594</v>
      </c>
      <c r="G14" s="8">
        <v>4.9563337129665594</v>
      </c>
    </row>
    <row r="15" spans="1:14" x14ac:dyDescent="0.2">
      <c r="A15">
        <v>130464</v>
      </c>
      <c r="C15" t="s">
        <v>4</v>
      </c>
      <c r="D15">
        <v>3</v>
      </c>
      <c r="E15">
        <v>663</v>
      </c>
      <c r="F15" s="1">
        <v>5.2017112283470635</v>
      </c>
      <c r="G15" s="8">
        <v>5.2017112283470635</v>
      </c>
    </row>
    <row r="16" spans="1:14" x14ac:dyDescent="0.2">
      <c r="A16">
        <v>134153</v>
      </c>
      <c r="B16">
        <v>18</v>
      </c>
      <c r="C16" t="s">
        <v>4</v>
      </c>
      <c r="D16">
        <v>2</v>
      </c>
      <c r="E16">
        <v>585</v>
      </c>
      <c r="F16" s="1">
        <v>4.7884500965282797</v>
      </c>
      <c r="G16" s="8">
        <v>4.7884500965282797</v>
      </c>
    </row>
    <row r="17" spans="1:7" x14ac:dyDescent="0.2">
      <c r="A17">
        <v>134583</v>
      </c>
      <c r="B17">
        <v>18</v>
      </c>
      <c r="C17" t="s">
        <v>4</v>
      </c>
      <c r="D17">
        <v>2</v>
      </c>
      <c r="E17">
        <v>607</v>
      </c>
      <c r="F17" s="1">
        <v>5.2297124759744849</v>
      </c>
      <c r="G17" s="8">
        <v>5.2297124759744849</v>
      </c>
    </row>
    <row r="18" spans="1:7" x14ac:dyDescent="0.2">
      <c r="A18">
        <v>135829</v>
      </c>
      <c r="B18">
        <v>18</v>
      </c>
      <c r="C18" t="s">
        <v>4</v>
      </c>
      <c r="D18">
        <v>2</v>
      </c>
      <c r="E18">
        <v>657</v>
      </c>
      <c r="F18" s="1">
        <v>5.6127853757399286</v>
      </c>
      <c r="G18" s="8">
        <v>5.6127853757399286</v>
      </c>
    </row>
    <row r="19" spans="1:7" x14ac:dyDescent="0.2">
      <c r="A19">
        <v>137849</v>
      </c>
      <c r="B19">
        <v>20</v>
      </c>
      <c r="C19" t="s">
        <v>4</v>
      </c>
      <c r="D19">
        <v>2</v>
      </c>
      <c r="E19">
        <v>575</v>
      </c>
      <c r="F19" s="1">
        <v>5.1520950698706569</v>
      </c>
      <c r="G19" s="8">
        <v>5.1520950698706569</v>
      </c>
    </row>
    <row r="20" spans="1:7" x14ac:dyDescent="0.2">
      <c r="A20">
        <v>146271</v>
      </c>
      <c r="B20">
        <v>18</v>
      </c>
      <c r="C20" t="s">
        <v>4</v>
      </c>
      <c r="D20">
        <v>2</v>
      </c>
      <c r="E20">
        <v>677</v>
      </c>
      <c r="F20" s="1"/>
      <c r="G20" s="8"/>
    </row>
    <row r="21" spans="1:7" x14ac:dyDescent="0.2">
      <c r="A21">
        <v>150528</v>
      </c>
      <c r="B21">
        <v>19</v>
      </c>
      <c r="C21" t="s">
        <v>4</v>
      </c>
      <c r="D21">
        <v>2</v>
      </c>
      <c r="E21">
        <v>669</v>
      </c>
      <c r="F21" s="1">
        <v>5.8273497440842776</v>
      </c>
      <c r="G21" s="8">
        <v>5.8273497440842776</v>
      </c>
    </row>
    <row r="22" spans="1:7" x14ac:dyDescent="0.2">
      <c r="A22">
        <v>151306</v>
      </c>
      <c r="B22">
        <v>18</v>
      </c>
      <c r="C22" t="s">
        <v>4</v>
      </c>
      <c r="D22">
        <v>1</v>
      </c>
      <c r="E22">
        <v>655</v>
      </c>
      <c r="F22" s="1">
        <v>5.4441379683496685</v>
      </c>
      <c r="G22" s="8">
        <v>5.4441379683496685</v>
      </c>
    </row>
    <row r="23" spans="1:7" x14ac:dyDescent="0.2">
      <c r="A23">
        <v>157795</v>
      </c>
      <c r="B23">
        <v>21</v>
      </c>
      <c r="C23" t="s">
        <v>4</v>
      </c>
      <c r="D23">
        <v>2</v>
      </c>
      <c r="E23">
        <v>590</v>
      </c>
      <c r="F23" s="1">
        <v>4.8903815636880799</v>
      </c>
      <c r="G23" s="8">
        <v>4.8903815636880799</v>
      </c>
    </row>
    <row r="24" spans="1:7" x14ac:dyDescent="0.2">
      <c r="A24">
        <v>160618</v>
      </c>
      <c r="B24">
        <v>18</v>
      </c>
      <c r="C24" t="s">
        <v>4</v>
      </c>
      <c r="D24">
        <v>2</v>
      </c>
      <c r="E24">
        <v>660</v>
      </c>
      <c r="F24" s="1">
        <v>5.1449659084649548</v>
      </c>
      <c r="G24" s="8">
        <v>5.1449659084649548</v>
      </c>
    </row>
    <row r="25" spans="1:7" x14ac:dyDescent="0.2">
      <c r="A25">
        <v>161552</v>
      </c>
      <c r="B25">
        <v>19</v>
      </c>
      <c r="C25" t="s">
        <v>4</v>
      </c>
      <c r="D25">
        <v>2</v>
      </c>
      <c r="E25">
        <v>600</v>
      </c>
      <c r="F25" s="1">
        <v>5.2384601195241336</v>
      </c>
      <c r="G25" s="8">
        <v>5.2384601195241336</v>
      </c>
    </row>
    <row r="26" spans="1:7" x14ac:dyDescent="0.2">
      <c r="A26">
        <v>176831</v>
      </c>
      <c r="B26">
        <v>19</v>
      </c>
      <c r="C26" t="s">
        <v>4</v>
      </c>
      <c r="D26">
        <v>1</v>
      </c>
      <c r="E26">
        <v>586</v>
      </c>
      <c r="F26" s="1">
        <v>4.8369199782126095</v>
      </c>
      <c r="G26" s="8">
        <v>4.8369199782126095</v>
      </c>
    </row>
    <row r="27" spans="1:7" x14ac:dyDescent="0.2">
      <c r="A27">
        <v>181010</v>
      </c>
      <c r="B27">
        <v>18</v>
      </c>
      <c r="C27" t="s">
        <v>4</v>
      </c>
      <c r="D27">
        <v>2</v>
      </c>
      <c r="E27">
        <v>600</v>
      </c>
      <c r="F27" s="1">
        <v>5.3214486496803008</v>
      </c>
      <c r="G27" s="8">
        <v>5.3214486496803008</v>
      </c>
    </row>
    <row r="28" spans="1:7" x14ac:dyDescent="0.2">
      <c r="A28">
        <v>184218</v>
      </c>
      <c r="B28">
        <v>21</v>
      </c>
      <c r="C28" t="s">
        <v>4</v>
      </c>
      <c r="D28">
        <v>2</v>
      </c>
      <c r="E28">
        <v>525</v>
      </c>
      <c r="F28" s="1">
        <v>4.6081850470585799</v>
      </c>
      <c r="G28" s="8">
        <v>4.6081850470585799</v>
      </c>
    </row>
    <row r="29" spans="1:7" x14ac:dyDescent="0.2">
      <c r="A29">
        <v>185986</v>
      </c>
      <c r="B29">
        <v>19</v>
      </c>
      <c r="C29" t="s">
        <v>4</v>
      </c>
      <c r="D29">
        <v>2</v>
      </c>
      <c r="E29">
        <v>620</v>
      </c>
      <c r="F29" s="1">
        <v>5.1346818225640849</v>
      </c>
      <c r="G29" s="8">
        <v>5.1346818225640849</v>
      </c>
    </row>
    <row r="30" spans="1:7" x14ac:dyDescent="0.2">
      <c r="A30">
        <v>205351</v>
      </c>
      <c r="C30" t="s">
        <v>4</v>
      </c>
      <c r="D30">
        <v>3</v>
      </c>
      <c r="E30">
        <v>540</v>
      </c>
      <c r="F30" s="1">
        <v>4.4978336105273868</v>
      </c>
      <c r="G30" s="8">
        <v>4.4978336105273868</v>
      </c>
    </row>
    <row r="31" spans="1:7" x14ac:dyDescent="0.2">
      <c r="A31">
        <v>209029</v>
      </c>
      <c r="B31">
        <v>19</v>
      </c>
      <c r="C31" t="s">
        <v>4</v>
      </c>
      <c r="D31">
        <v>1</v>
      </c>
      <c r="E31">
        <v>575</v>
      </c>
      <c r="F31" s="1">
        <v>5.1798827829859055</v>
      </c>
      <c r="G31" s="8">
        <v>5.1798827829859055</v>
      </c>
    </row>
    <row r="32" spans="1:7" x14ac:dyDescent="0.2">
      <c r="A32">
        <v>217108</v>
      </c>
      <c r="B32">
        <v>23</v>
      </c>
      <c r="C32" t="s">
        <v>4</v>
      </c>
      <c r="D32">
        <v>1</v>
      </c>
      <c r="E32">
        <v>557</v>
      </c>
      <c r="F32" s="1">
        <v>4.5434148608332734</v>
      </c>
      <c r="G32" s="8">
        <v>4.5434148608332734</v>
      </c>
    </row>
    <row r="33" spans="1:7" x14ac:dyDescent="0.2">
      <c r="A33">
        <v>218645</v>
      </c>
      <c r="B33">
        <v>18</v>
      </c>
      <c r="C33" t="s">
        <v>4</v>
      </c>
      <c r="D33">
        <v>2</v>
      </c>
      <c r="E33">
        <v>600</v>
      </c>
      <c r="F33" s="1">
        <v>4.5678109297296201</v>
      </c>
      <c r="G33" s="8">
        <v>4.5678109297296201</v>
      </c>
    </row>
    <row r="34" spans="1:7" x14ac:dyDescent="0.2">
      <c r="A34">
        <v>223154</v>
      </c>
      <c r="B34">
        <v>18</v>
      </c>
      <c r="C34" t="s">
        <v>4</v>
      </c>
      <c r="D34">
        <v>1</v>
      </c>
      <c r="E34">
        <v>575</v>
      </c>
      <c r="F34" s="1">
        <v>4.8227395252914462</v>
      </c>
      <c r="G34" s="8">
        <v>4.8227395252914462</v>
      </c>
    </row>
    <row r="35" spans="1:7" x14ac:dyDescent="0.2">
      <c r="A35">
        <v>249087</v>
      </c>
      <c r="B35">
        <v>19</v>
      </c>
      <c r="C35" t="s">
        <v>4</v>
      </c>
      <c r="D35">
        <v>2</v>
      </c>
      <c r="E35">
        <v>595</v>
      </c>
      <c r="F35" s="1">
        <v>4.3553371269780552</v>
      </c>
      <c r="G35" s="8">
        <v>4.3553371269780552</v>
      </c>
    </row>
    <row r="36" spans="1:7" x14ac:dyDescent="0.2">
      <c r="A36">
        <v>266937</v>
      </c>
      <c r="B36">
        <v>18</v>
      </c>
      <c r="C36" t="s">
        <v>4</v>
      </c>
      <c r="D36">
        <v>2</v>
      </c>
      <c r="E36">
        <v>660</v>
      </c>
      <c r="F36" s="1">
        <v>5.212441107882869</v>
      </c>
      <c r="G36" s="8">
        <v>5.212441107882869</v>
      </c>
    </row>
    <row r="37" spans="1:7" x14ac:dyDescent="0.2">
      <c r="A37">
        <v>278634</v>
      </c>
      <c r="B37">
        <v>18</v>
      </c>
      <c r="C37" t="s">
        <v>4</v>
      </c>
      <c r="D37">
        <v>1</v>
      </c>
      <c r="E37">
        <v>700</v>
      </c>
      <c r="F37" s="1">
        <v>6.0613726443749556</v>
      </c>
      <c r="G37" s="8">
        <v>6.0613726443749556</v>
      </c>
    </row>
    <row r="38" spans="1:7" x14ac:dyDescent="0.2">
      <c r="A38">
        <v>280247</v>
      </c>
      <c r="B38">
        <v>19</v>
      </c>
      <c r="C38" t="s">
        <v>4</v>
      </c>
      <c r="D38">
        <v>2</v>
      </c>
      <c r="E38">
        <v>553</v>
      </c>
      <c r="F38" s="1">
        <v>4.6033710383004625</v>
      </c>
      <c r="G38" s="8">
        <v>4.6033710383004625</v>
      </c>
    </row>
    <row r="39" spans="1:7" x14ac:dyDescent="0.2">
      <c r="A39">
        <v>317955</v>
      </c>
      <c r="B39">
        <v>18</v>
      </c>
      <c r="C39" t="s">
        <v>4</v>
      </c>
      <c r="D39">
        <v>2</v>
      </c>
      <c r="E39">
        <v>607</v>
      </c>
      <c r="F39" s="1">
        <v>4.897294557024396</v>
      </c>
      <c r="G39" s="8">
        <v>4.897294557024396</v>
      </c>
    </row>
    <row r="40" spans="1:7" x14ac:dyDescent="0.2">
      <c r="A40">
        <v>318127</v>
      </c>
      <c r="B40">
        <v>18</v>
      </c>
      <c r="C40" t="s">
        <v>4</v>
      </c>
      <c r="D40">
        <v>2</v>
      </c>
      <c r="E40">
        <v>630</v>
      </c>
      <c r="F40" s="1">
        <v>5.2505055927876541</v>
      </c>
      <c r="G40" s="8">
        <v>5.2505055927876541</v>
      </c>
    </row>
    <row r="41" spans="1:7" x14ac:dyDescent="0.2">
      <c r="A41">
        <v>318178</v>
      </c>
      <c r="B41">
        <v>18</v>
      </c>
      <c r="C41" t="s">
        <v>4</v>
      </c>
      <c r="D41">
        <v>1</v>
      </c>
      <c r="E41">
        <v>657</v>
      </c>
      <c r="F41" s="1">
        <v>5.272388449697246</v>
      </c>
      <c r="G41" s="8">
        <v>5.272388449697246</v>
      </c>
    </row>
    <row r="42" spans="1:7" x14ac:dyDescent="0.2">
      <c r="A42">
        <v>330345</v>
      </c>
      <c r="B42">
        <v>18</v>
      </c>
      <c r="C42" t="s">
        <v>4</v>
      </c>
      <c r="D42">
        <v>2</v>
      </c>
      <c r="E42">
        <v>547</v>
      </c>
      <c r="F42" s="1">
        <v>4.6768081709685196</v>
      </c>
      <c r="G42" s="8">
        <v>4.6768081709685196</v>
      </c>
    </row>
    <row r="43" spans="1:7" x14ac:dyDescent="0.2">
      <c r="A43">
        <v>339590</v>
      </c>
      <c r="B43">
        <v>18</v>
      </c>
      <c r="C43" t="s">
        <v>4</v>
      </c>
      <c r="D43">
        <v>1</v>
      </c>
      <c r="E43">
        <v>550</v>
      </c>
      <c r="F43" s="1">
        <v>4.6520791556460042</v>
      </c>
      <c r="G43" s="8">
        <v>4.6520791556460042</v>
      </c>
    </row>
    <row r="44" spans="1:7" x14ac:dyDescent="0.2">
      <c r="A44">
        <v>343356</v>
      </c>
      <c r="B44">
        <v>18</v>
      </c>
      <c r="C44" t="s">
        <v>4</v>
      </c>
      <c r="D44">
        <v>2</v>
      </c>
      <c r="E44">
        <v>600</v>
      </c>
      <c r="F44" s="1">
        <v>5.1826768337275428</v>
      </c>
      <c r="G44" s="8">
        <v>5.1826768337275428</v>
      </c>
    </row>
    <row r="45" spans="1:7" x14ac:dyDescent="0.2">
      <c r="A45">
        <v>345984</v>
      </c>
      <c r="B45">
        <v>19</v>
      </c>
      <c r="C45" t="s">
        <v>4</v>
      </c>
      <c r="D45">
        <v>2</v>
      </c>
      <c r="E45">
        <v>596</v>
      </c>
      <c r="F45" s="1">
        <v>5.0680016109527601</v>
      </c>
      <c r="G45" s="8">
        <v>5.0680016109527601</v>
      </c>
    </row>
    <row r="46" spans="1:7" x14ac:dyDescent="0.2">
      <c r="A46">
        <v>348498</v>
      </c>
      <c r="B46">
        <v>18</v>
      </c>
      <c r="C46" t="s">
        <v>4</v>
      </c>
      <c r="D46">
        <v>1</v>
      </c>
      <c r="E46">
        <v>599</v>
      </c>
      <c r="F46" s="1">
        <v>5.3332540243775135</v>
      </c>
      <c r="G46" s="8">
        <v>5.3332540243775135</v>
      </c>
    </row>
    <row r="47" spans="1:7" x14ac:dyDescent="0.2">
      <c r="A47">
        <v>353312</v>
      </c>
      <c r="B47">
        <v>21</v>
      </c>
      <c r="C47" t="s">
        <v>4</v>
      </c>
      <c r="D47">
        <v>1</v>
      </c>
      <c r="E47">
        <v>537</v>
      </c>
      <c r="F47" s="1">
        <v>4.8029405266513665</v>
      </c>
      <c r="G47" s="8">
        <v>4.8029405266513665</v>
      </c>
    </row>
    <row r="48" spans="1:7" x14ac:dyDescent="0.2">
      <c r="A48">
        <v>353669</v>
      </c>
      <c r="B48">
        <v>17</v>
      </c>
      <c r="C48" t="s">
        <v>4</v>
      </c>
      <c r="D48">
        <v>2</v>
      </c>
      <c r="E48">
        <v>625</v>
      </c>
      <c r="F48" s="1"/>
      <c r="G48" s="8"/>
    </row>
    <row r="49" spans="1:7" x14ac:dyDescent="0.2">
      <c r="A49">
        <v>354292</v>
      </c>
      <c r="B49">
        <v>21</v>
      </c>
      <c r="C49" t="s">
        <v>4</v>
      </c>
      <c r="D49">
        <v>2</v>
      </c>
      <c r="E49">
        <v>667</v>
      </c>
      <c r="F49" s="1">
        <v>5.1272317504557403</v>
      </c>
      <c r="G49" s="8">
        <v>5.1272317504557403</v>
      </c>
    </row>
    <row r="50" spans="1:7" x14ac:dyDescent="0.2">
      <c r="A50">
        <v>371968</v>
      </c>
      <c r="B50">
        <v>18</v>
      </c>
      <c r="C50" t="s">
        <v>4</v>
      </c>
      <c r="D50">
        <v>2</v>
      </c>
      <c r="E50">
        <v>632</v>
      </c>
      <c r="F50" s="1">
        <v>5.0470755502634859</v>
      </c>
      <c r="G50" s="8">
        <v>5.0470755502634859</v>
      </c>
    </row>
    <row r="51" spans="1:7" x14ac:dyDescent="0.2">
      <c r="A51">
        <v>379435</v>
      </c>
      <c r="B51">
        <v>19</v>
      </c>
      <c r="C51" t="s">
        <v>4</v>
      </c>
      <c r="D51">
        <v>1</v>
      </c>
      <c r="E51">
        <v>632</v>
      </c>
      <c r="F51" s="1">
        <v>4.7505955320909496</v>
      </c>
      <c r="G51" s="8">
        <v>4.7505955320909496</v>
      </c>
    </row>
    <row r="52" spans="1:7" x14ac:dyDescent="0.2">
      <c r="A52">
        <v>388261</v>
      </c>
      <c r="B52">
        <v>18</v>
      </c>
      <c r="C52" t="s">
        <v>4</v>
      </c>
      <c r="D52">
        <v>2</v>
      </c>
      <c r="E52">
        <v>575</v>
      </c>
      <c r="F52" s="1">
        <v>4.9100065936109454</v>
      </c>
      <c r="G52" s="8">
        <v>4.9100065936109454</v>
      </c>
    </row>
    <row r="53" spans="1:7" x14ac:dyDescent="0.2">
      <c r="A53">
        <v>392091</v>
      </c>
      <c r="B53">
        <v>19</v>
      </c>
      <c r="C53" t="s">
        <v>4</v>
      </c>
      <c r="D53">
        <v>2</v>
      </c>
      <c r="E53">
        <v>590</v>
      </c>
      <c r="F53" s="1">
        <v>5.2351485019847965</v>
      </c>
      <c r="G53" s="8">
        <v>5.2351485019847965</v>
      </c>
    </row>
    <row r="54" spans="1:7" x14ac:dyDescent="0.2">
      <c r="A54">
        <v>394354</v>
      </c>
      <c r="B54">
        <v>19</v>
      </c>
      <c r="C54" t="s">
        <v>4</v>
      </c>
      <c r="D54">
        <v>1</v>
      </c>
      <c r="E54">
        <v>567</v>
      </c>
      <c r="F54" s="1">
        <v>4.971860552621993</v>
      </c>
      <c r="G54" s="8">
        <v>4.971860552621993</v>
      </c>
    </row>
    <row r="55" spans="1:7" x14ac:dyDescent="0.2">
      <c r="A55">
        <v>395821</v>
      </c>
      <c r="B55">
        <v>20</v>
      </c>
      <c r="C55" t="s">
        <v>4</v>
      </c>
      <c r="D55">
        <v>1</v>
      </c>
      <c r="E55">
        <v>657</v>
      </c>
      <c r="F55" s="1">
        <v>5.4681151490789279</v>
      </c>
      <c r="G55" s="8">
        <v>5.4681151490789279</v>
      </c>
    </row>
    <row r="56" spans="1:7" x14ac:dyDescent="0.2">
      <c r="A56">
        <v>400751</v>
      </c>
      <c r="B56">
        <v>19</v>
      </c>
      <c r="C56" t="s">
        <v>4</v>
      </c>
      <c r="D56">
        <v>2</v>
      </c>
      <c r="E56">
        <v>610</v>
      </c>
      <c r="F56" s="1">
        <v>4.9766397442416741</v>
      </c>
      <c r="G56" s="8">
        <v>4.9766397442416741</v>
      </c>
    </row>
    <row r="57" spans="1:7" x14ac:dyDescent="0.2">
      <c r="A57">
        <v>403557</v>
      </c>
      <c r="B57">
        <v>18</v>
      </c>
      <c r="C57" t="s">
        <v>4</v>
      </c>
      <c r="D57">
        <v>1</v>
      </c>
      <c r="E57">
        <v>630</v>
      </c>
      <c r="F57" s="1">
        <v>5.3309558824146341</v>
      </c>
      <c r="G57" s="8">
        <v>5.3309558824146341</v>
      </c>
    </row>
    <row r="58" spans="1:7" x14ac:dyDescent="0.2">
      <c r="A58">
        <v>413931</v>
      </c>
      <c r="B58">
        <v>19</v>
      </c>
      <c r="C58" t="s">
        <v>4</v>
      </c>
      <c r="D58">
        <v>2</v>
      </c>
      <c r="E58">
        <v>675</v>
      </c>
      <c r="F58" s="1">
        <v>5.7812600417533977</v>
      </c>
      <c r="G58" s="8">
        <v>5.7812600417533977</v>
      </c>
    </row>
    <row r="59" spans="1:7" x14ac:dyDescent="0.2">
      <c r="A59">
        <v>417111</v>
      </c>
      <c r="C59" t="s">
        <v>4</v>
      </c>
      <c r="D59">
        <v>3</v>
      </c>
      <c r="E59">
        <v>627</v>
      </c>
      <c r="F59" s="1">
        <v>5.4492054911893986</v>
      </c>
      <c r="G59" s="8">
        <v>5.4492054911893986</v>
      </c>
    </row>
    <row r="60" spans="1:7" x14ac:dyDescent="0.2">
      <c r="A60">
        <v>434816</v>
      </c>
      <c r="C60" t="s">
        <v>4</v>
      </c>
      <c r="D60">
        <v>3</v>
      </c>
      <c r="E60">
        <v>665</v>
      </c>
      <c r="F60" s="1">
        <v>5.5009893945491619</v>
      </c>
      <c r="G60" s="8">
        <v>5.5009893945491619</v>
      </c>
    </row>
    <row r="61" spans="1:7" x14ac:dyDescent="0.2">
      <c r="A61">
        <v>435938</v>
      </c>
      <c r="B61">
        <v>18</v>
      </c>
      <c r="C61" t="s">
        <v>4</v>
      </c>
      <c r="D61">
        <v>1</v>
      </c>
      <c r="E61">
        <v>680</v>
      </c>
      <c r="F61" s="1">
        <v>4.9500525992051667</v>
      </c>
      <c r="G61" s="8">
        <v>4.9500525992051667</v>
      </c>
    </row>
    <row r="62" spans="1:7" x14ac:dyDescent="0.2">
      <c r="A62">
        <v>441656</v>
      </c>
      <c r="B62">
        <v>19</v>
      </c>
      <c r="C62" t="s">
        <v>4</v>
      </c>
      <c r="D62">
        <v>1</v>
      </c>
      <c r="E62">
        <v>610</v>
      </c>
      <c r="F62" s="1">
        <v>5.2522390358877091</v>
      </c>
      <c r="G62" s="8">
        <v>5.2522390358877091</v>
      </c>
    </row>
    <row r="63" spans="1:7" x14ac:dyDescent="0.2">
      <c r="A63">
        <v>443337</v>
      </c>
      <c r="B63">
        <v>19</v>
      </c>
      <c r="C63" t="s">
        <v>4</v>
      </c>
      <c r="D63">
        <v>2</v>
      </c>
      <c r="E63">
        <v>599</v>
      </c>
      <c r="F63" s="1">
        <v>4.8688616072624056</v>
      </c>
      <c r="G63" s="8">
        <v>4.8688616072624056</v>
      </c>
    </row>
    <row r="64" spans="1:7" x14ac:dyDescent="0.2">
      <c r="A64">
        <v>444197</v>
      </c>
      <c r="B64">
        <v>19</v>
      </c>
      <c r="C64" t="s">
        <v>4</v>
      </c>
      <c r="D64">
        <v>1</v>
      </c>
      <c r="E64">
        <v>655</v>
      </c>
      <c r="F64" s="1">
        <v>4.9976932027213126</v>
      </c>
      <c r="G64" s="8">
        <v>4.9976932027213126</v>
      </c>
    </row>
    <row r="65" spans="1:7" x14ac:dyDescent="0.2">
      <c r="A65">
        <v>450986</v>
      </c>
      <c r="B65">
        <v>18</v>
      </c>
      <c r="C65" t="s">
        <v>4</v>
      </c>
      <c r="D65">
        <v>1</v>
      </c>
      <c r="E65">
        <v>605</v>
      </c>
      <c r="F65" s="1">
        <v>4.6684350334457072</v>
      </c>
      <c r="G65" s="8">
        <v>4.6684350334457072</v>
      </c>
    </row>
    <row r="66" spans="1:7" x14ac:dyDescent="0.2">
      <c r="A66">
        <v>451837</v>
      </c>
      <c r="C66" t="s">
        <v>4</v>
      </c>
      <c r="D66">
        <v>3</v>
      </c>
      <c r="E66">
        <v>631</v>
      </c>
      <c r="F66" s="1">
        <v>5.5938525241002761</v>
      </c>
      <c r="G66" s="8">
        <v>5.5938525241002761</v>
      </c>
    </row>
    <row r="67" spans="1:7" x14ac:dyDescent="0.2">
      <c r="A67">
        <v>476432</v>
      </c>
      <c r="B67">
        <v>21</v>
      </c>
      <c r="C67" t="s">
        <v>4</v>
      </c>
      <c r="D67">
        <v>1</v>
      </c>
      <c r="E67">
        <v>575</v>
      </c>
      <c r="F67" s="1">
        <v>4.8225723436803776</v>
      </c>
      <c r="G67" s="8">
        <v>4.8225723436803776</v>
      </c>
    </row>
    <row r="68" spans="1:7" x14ac:dyDescent="0.2">
      <c r="A68">
        <v>478976</v>
      </c>
      <c r="B68">
        <v>20</v>
      </c>
      <c r="C68" t="s">
        <v>4</v>
      </c>
      <c r="D68">
        <v>1</v>
      </c>
      <c r="E68">
        <v>610</v>
      </c>
      <c r="F68" s="1">
        <v>5.4719806290503783</v>
      </c>
      <c r="G68" s="8">
        <v>5.4719806290503783</v>
      </c>
    </row>
    <row r="69" spans="1:7" x14ac:dyDescent="0.2">
      <c r="A69">
        <v>480823</v>
      </c>
      <c r="B69">
        <v>18</v>
      </c>
      <c r="C69" t="s">
        <v>4</v>
      </c>
      <c r="D69">
        <v>1</v>
      </c>
      <c r="E69">
        <v>650</v>
      </c>
      <c r="F69" s="1">
        <v>5.4964655952654589</v>
      </c>
      <c r="G69" s="8">
        <v>5.4964655952654589</v>
      </c>
    </row>
    <row r="70" spans="1:7" x14ac:dyDescent="0.2">
      <c r="A70">
        <v>490630</v>
      </c>
      <c r="B70">
        <v>19</v>
      </c>
      <c r="C70" t="s">
        <v>4</v>
      </c>
      <c r="D70">
        <v>1</v>
      </c>
      <c r="E70">
        <v>614</v>
      </c>
      <c r="F70" s="1">
        <v>5.166139807067462</v>
      </c>
      <c r="G70" s="8">
        <v>5.166139807067462</v>
      </c>
    </row>
    <row r="71" spans="1:7" x14ac:dyDescent="0.2">
      <c r="A71">
        <v>491886</v>
      </c>
      <c r="B71">
        <v>29</v>
      </c>
      <c r="C71" t="s">
        <v>4</v>
      </c>
      <c r="D71">
        <v>2</v>
      </c>
      <c r="E71">
        <v>580</v>
      </c>
      <c r="F71" s="1">
        <v>4.3516841245261544</v>
      </c>
      <c r="G71" s="8">
        <v>4.3516841245261544</v>
      </c>
    </row>
    <row r="72" spans="1:7" x14ac:dyDescent="0.2">
      <c r="A72">
        <v>498001</v>
      </c>
      <c r="B72">
        <v>24</v>
      </c>
      <c r="C72" t="s">
        <v>4</v>
      </c>
      <c r="D72">
        <v>2</v>
      </c>
      <c r="E72">
        <v>585</v>
      </c>
      <c r="F72" s="1">
        <v>5.0785241664301886</v>
      </c>
      <c r="G72" s="8">
        <v>5.0785241664301886</v>
      </c>
    </row>
    <row r="73" spans="1:7" x14ac:dyDescent="0.2">
      <c r="A73">
        <v>502045</v>
      </c>
      <c r="B73">
        <v>19</v>
      </c>
      <c r="C73" t="s">
        <v>4</v>
      </c>
      <c r="D73">
        <v>2</v>
      </c>
      <c r="E73">
        <v>637</v>
      </c>
      <c r="F73" s="1">
        <v>5.3994449420512103</v>
      </c>
      <c r="G73" s="8">
        <v>5.3994449420512103</v>
      </c>
    </row>
    <row r="74" spans="1:7" x14ac:dyDescent="0.2">
      <c r="A74">
        <v>512172</v>
      </c>
      <c r="B74">
        <v>18</v>
      </c>
      <c r="C74" t="s">
        <v>4</v>
      </c>
      <c r="D74">
        <v>1</v>
      </c>
      <c r="E74">
        <v>582</v>
      </c>
      <c r="F74" s="1">
        <v>4.7388216725180206</v>
      </c>
      <c r="G74" s="8">
        <v>4.7388216725180206</v>
      </c>
    </row>
    <row r="75" spans="1:7" x14ac:dyDescent="0.2">
      <c r="A75">
        <v>513015</v>
      </c>
      <c r="B75">
        <v>18</v>
      </c>
      <c r="C75" t="s">
        <v>4</v>
      </c>
      <c r="D75">
        <v>2</v>
      </c>
      <c r="E75">
        <v>633</v>
      </c>
      <c r="F75" s="1">
        <v>5.7499212876069778</v>
      </c>
      <c r="G75" s="8">
        <v>5.7499212876069778</v>
      </c>
    </row>
    <row r="76" spans="1:7" x14ac:dyDescent="0.2">
      <c r="A76">
        <v>520281</v>
      </c>
      <c r="B76">
        <v>18</v>
      </c>
      <c r="C76" t="s">
        <v>4</v>
      </c>
      <c r="D76">
        <v>2</v>
      </c>
      <c r="E76">
        <v>590</v>
      </c>
      <c r="F76" s="1">
        <v>4.1967569911643681</v>
      </c>
      <c r="G76" s="8">
        <v>4.1967569911643681</v>
      </c>
    </row>
    <row r="77" spans="1:7" x14ac:dyDescent="0.2">
      <c r="A77">
        <v>521420</v>
      </c>
      <c r="C77" t="s">
        <v>4</v>
      </c>
      <c r="D77">
        <v>3</v>
      </c>
      <c r="E77">
        <v>645</v>
      </c>
      <c r="F77" s="1">
        <v>5.5679636569504263</v>
      </c>
      <c r="G77" s="8">
        <v>5.5679636569504263</v>
      </c>
    </row>
    <row r="78" spans="1:7" x14ac:dyDescent="0.2">
      <c r="A78">
        <v>528127</v>
      </c>
      <c r="B78">
        <v>19</v>
      </c>
      <c r="C78" t="s">
        <v>4</v>
      </c>
      <c r="D78">
        <v>2</v>
      </c>
      <c r="E78">
        <v>630</v>
      </c>
      <c r="F78" s="1">
        <v>5.2816942277594237</v>
      </c>
      <c r="G78" s="8">
        <v>5.2816942277594237</v>
      </c>
    </row>
    <row r="79" spans="1:7" x14ac:dyDescent="0.2">
      <c r="A79">
        <v>545251</v>
      </c>
      <c r="B79">
        <v>19</v>
      </c>
      <c r="C79" t="s">
        <v>4</v>
      </c>
      <c r="D79">
        <v>1</v>
      </c>
      <c r="E79">
        <v>678</v>
      </c>
      <c r="F79" s="1">
        <v>5.573308534475764</v>
      </c>
      <c r="G79" s="8">
        <v>5.573308534475764</v>
      </c>
    </row>
    <row r="80" spans="1:7" x14ac:dyDescent="0.2">
      <c r="A80">
        <v>560974</v>
      </c>
      <c r="B80">
        <v>21</v>
      </c>
      <c r="C80" t="s">
        <v>4</v>
      </c>
      <c r="D80">
        <v>2</v>
      </c>
      <c r="E80">
        <v>528</v>
      </c>
      <c r="F80" s="1">
        <v>4.1926872744930668</v>
      </c>
      <c r="G80" s="8">
        <v>4.1926872744930668</v>
      </c>
    </row>
    <row r="81" spans="1:7" x14ac:dyDescent="0.2">
      <c r="A81">
        <v>562452</v>
      </c>
      <c r="B81">
        <v>18</v>
      </c>
      <c r="C81" t="s">
        <v>4</v>
      </c>
      <c r="D81">
        <v>2</v>
      </c>
      <c r="E81">
        <v>610</v>
      </c>
      <c r="F81" s="1">
        <v>4.9087765708876692</v>
      </c>
      <c r="G81" s="8">
        <v>4.9087765708876692</v>
      </c>
    </row>
    <row r="82" spans="1:7" x14ac:dyDescent="0.2">
      <c r="A82">
        <v>565644</v>
      </c>
      <c r="B82">
        <v>19</v>
      </c>
      <c r="C82" t="s">
        <v>4</v>
      </c>
      <c r="D82">
        <v>2</v>
      </c>
      <c r="E82">
        <v>647</v>
      </c>
      <c r="F82" s="1">
        <v>5.6236009195505456</v>
      </c>
      <c r="G82" s="8">
        <v>5.6236009195505456</v>
      </c>
    </row>
    <row r="83" spans="1:7" x14ac:dyDescent="0.2">
      <c r="A83">
        <v>569305</v>
      </c>
      <c r="B83">
        <v>18</v>
      </c>
      <c r="C83" t="s">
        <v>4</v>
      </c>
      <c r="D83">
        <v>1</v>
      </c>
      <c r="E83">
        <v>682</v>
      </c>
      <c r="F83" s="1">
        <v>5.3841128088858534</v>
      </c>
      <c r="G83" s="8">
        <v>5.3841128088858534</v>
      </c>
    </row>
    <row r="84" spans="1:7" x14ac:dyDescent="0.2">
      <c r="A84">
        <v>572633</v>
      </c>
      <c r="B84">
        <v>18</v>
      </c>
      <c r="C84" t="s">
        <v>4</v>
      </c>
      <c r="D84">
        <v>2</v>
      </c>
      <c r="E84">
        <v>642</v>
      </c>
      <c r="F84" s="1">
        <v>4.8061118735755839</v>
      </c>
      <c r="G84" s="8">
        <v>4.8061118735755839</v>
      </c>
    </row>
    <row r="85" spans="1:7" x14ac:dyDescent="0.2">
      <c r="A85">
        <v>574428</v>
      </c>
      <c r="B85">
        <v>18</v>
      </c>
      <c r="C85" t="s">
        <v>4</v>
      </c>
      <c r="D85">
        <v>2</v>
      </c>
      <c r="E85">
        <v>675</v>
      </c>
      <c r="F85" s="1">
        <v>5.4813182573923136</v>
      </c>
      <c r="G85" s="8">
        <v>5.4813182573923136</v>
      </c>
    </row>
    <row r="86" spans="1:7" x14ac:dyDescent="0.2">
      <c r="A86">
        <v>575303</v>
      </c>
      <c r="B86">
        <v>18</v>
      </c>
      <c r="C86" t="s">
        <v>4</v>
      </c>
      <c r="D86">
        <v>2</v>
      </c>
      <c r="E86">
        <v>585</v>
      </c>
      <c r="F86" s="1">
        <v>4.8156258430908938</v>
      </c>
      <c r="G86" s="8">
        <v>4.8156258430908938</v>
      </c>
    </row>
    <row r="87" spans="1:7" x14ac:dyDescent="0.2">
      <c r="A87">
        <v>578064</v>
      </c>
      <c r="B87">
        <v>32</v>
      </c>
      <c r="C87" t="s">
        <v>4</v>
      </c>
      <c r="D87">
        <v>1</v>
      </c>
      <c r="E87">
        <v>553</v>
      </c>
      <c r="F87" s="1">
        <v>4.9830846609963775</v>
      </c>
      <c r="G87" s="8">
        <v>4.9830846609963775</v>
      </c>
    </row>
    <row r="88" spans="1:7" x14ac:dyDescent="0.2">
      <c r="A88">
        <v>590736</v>
      </c>
      <c r="B88">
        <v>18</v>
      </c>
      <c r="C88" t="s">
        <v>4</v>
      </c>
      <c r="D88">
        <v>1</v>
      </c>
      <c r="E88">
        <v>662</v>
      </c>
      <c r="F88" s="1">
        <v>5.0740156410220774</v>
      </c>
      <c r="G88" s="8">
        <v>5.0740156410220774</v>
      </c>
    </row>
    <row r="89" spans="1:7" x14ac:dyDescent="0.2">
      <c r="A89">
        <v>593454</v>
      </c>
      <c r="B89">
        <v>19</v>
      </c>
      <c r="C89" t="s">
        <v>4</v>
      </c>
      <c r="D89">
        <v>2</v>
      </c>
      <c r="E89">
        <v>675</v>
      </c>
      <c r="F89" s="1">
        <v>5.5669625048765941</v>
      </c>
      <c r="G89" s="8">
        <v>5.5669625048765941</v>
      </c>
    </row>
    <row r="90" spans="1:7" x14ac:dyDescent="0.2">
      <c r="A90">
        <v>602044</v>
      </c>
      <c r="B90">
        <v>17</v>
      </c>
      <c r="C90" t="s">
        <v>4</v>
      </c>
      <c r="D90">
        <v>1</v>
      </c>
      <c r="E90">
        <v>675</v>
      </c>
      <c r="F90" s="1">
        <v>5.7085123834635869</v>
      </c>
      <c r="G90" s="8">
        <v>5.7085123834635869</v>
      </c>
    </row>
    <row r="91" spans="1:7" x14ac:dyDescent="0.2">
      <c r="A91">
        <v>602808</v>
      </c>
      <c r="B91">
        <v>20</v>
      </c>
      <c r="C91" t="s">
        <v>4</v>
      </c>
      <c r="D91">
        <v>2</v>
      </c>
      <c r="E91">
        <v>545</v>
      </c>
      <c r="F91" s="1">
        <v>4.9250990867969078</v>
      </c>
      <c r="G91" s="8">
        <v>4.9250990867969078</v>
      </c>
    </row>
    <row r="92" spans="1:7" x14ac:dyDescent="0.2">
      <c r="A92">
        <v>606679</v>
      </c>
      <c r="B92">
        <v>19</v>
      </c>
      <c r="C92" t="s">
        <v>4</v>
      </c>
      <c r="D92">
        <v>1</v>
      </c>
      <c r="E92">
        <v>627</v>
      </c>
      <c r="F92" s="1">
        <v>5.2198725862251329</v>
      </c>
      <c r="G92" s="8">
        <v>5.2198725862251329</v>
      </c>
    </row>
    <row r="93" spans="1:7" x14ac:dyDescent="0.2">
      <c r="A93">
        <v>610650</v>
      </c>
      <c r="B93">
        <v>18</v>
      </c>
      <c r="C93" t="s">
        <v>4</v>
      </c>
      <c r="D93">
        <v>1</v>
      </c>
      <c r="E93">
        <v>629</v>
      </c>
      <c r="F93" s="1">
        <v>5.1002786887903149</v>
      </c>
      <c r="G93" s="8">
        <v>5.1002786887903149</v>
      </c>
    </row>
    <row r="94" spans="1:7" x14ac:dyDescent="0.2">
      <c r="A94">
        <v>613713</v>
      </c>
      <c r="B94">
        <v>18</v>
      </c>
      <c r="C94" t="s">
        <v>4</v>
      </c>
      <c r="D94">
        <v>2</v>
      </c>
      <c r="E94">
        <v>670</v>
      </c>
      <c r="F94" s="1">
        <v>5.129325307416968</v>
      </c>
      <c r="G94" s="8">
        <v>5.129325307416968</v>
      </c>
    </row>
    <row r="95" spans="1:7" x14ac:dyDescent="0.2">
      <c r="A95">
        <v>617623</v>
      </c>
      <c r="B95">
        <v>24</v>
      </c>
      <c r="C95" t="s">
        <v>4</v>
      </c>
      <c r="D95">
        <v>2</v>
      </c>
      <c r="E95">
        <v>629</v>
      </c>
      <c r="F95" s="1">
        <v>5.1180026426579888</v>
      </c>
      <c r="G95" s="8">
        <v>5.1180026426579888</v>
      </c>
    </row>
    <row r="96" spans="1:7" x14ac:dyDescent="0.2">
      <c r="A96">
        <v>621018</v>
      </c>
      <c r="B96">
        <v>20</v>
      </c>
      <c r="C96" t="s">
        <v>4</v>
      </c>
      <c r="D96">
        <v>2</v>
      </c>
      <c r="E96">
        <v>625</v>
      </c>
      <c r="F96" s="1">
        <v>4.808254249705822</v>
      </c>
      <c r="G96" s="8">
        <v>4.808254249705822</v>
      </c>
    </row>
    <row r="97" spans="1:7" x14ac:dyDescent="0.2">
      <c r="A97">
        <v>623446</v>
      </c>
      <c r="B97">
        <v>36</v>
      </c>
      <c r="C97" t="s">
        <v>4</v>
      </c>
      <c r="D97">
        <v>2</v>
      </c>
      <c r="E97">
        <v>575</v>
      </c>
      <c r="F97" s="1">
        <v>4.8646704074010954</v>
      </c>
      <c r="G97" s="8">
        <v>4.8646704074010954</v>
      </c>
    </row>
    <row r="98" spans="1:7" x14ac:dyDescent="0.2">
      <c r="A98">
        <v>645132</v>
      </c>
      <c r="B98">
        <v>19</v>
      </c>
      <c r="C98" t="s">
        <v>4</v>
      </c>
      <c r="D98">
        <v>2</v>
      </c>
      <c r="E98">
        <v>582</v>
      </c>
      <c r="F98" s="1"/>
      <c r="G98" s="8"/>
    </row>
    <row r="99" spans="1:7" x14ac:dyDescent="0.2">
      <c r="A99">
        <v>650916</v>
      </c>
      <c r="B99">
        <v>19</v>
      </c>
      <c r="C99" t="s">
        <v>4</v>
      </c>
      <c r="D99">
        <v>1</v>
      </c>
      <c r="E99">
        <v>620</v>
      </c>
      <c r="F99" s="1">
        <v>5.3104687844378642</v>
      </c>
      <c r="G99" s="8">
        <v>5.3104687844378642</v>
      </c>
    </row>
    <row r="100" spans="1:7" x14ac:dyDescent="0.2">
      <c r="A100">
        <v>653397</v>
      </c>
      <c r="B100">
        <v>19</v>
      </c>
      <c r="C100" t="s">
        <v>4</v>
      </c>
      <c r="D100">
        <v>2</v>
      </c>
      <c r="E100">
        <v>620</v>
      </c>
      <c r="F100" s="1">
        <v>4.8786968981570231</v>
      </c>
      <c r="G100" s="8">
        <v>4.8786968981570231</v>
      </c>
    </row>
    <row r="101" spans="1:7" x14ac:dyDescent="0.2">
      <c r="A101">
        <v>654094</v>
      </c>
      <c r="B101">
        <v>21</v>
      </c>
      <c r="C101" t="s">
        <v>4</v>
      </c>
      <c r="D101">
        <v>2</v>
      </c>
      <c r="E101">
        <v>562</v>
      </c>
      <c r="F101" s="1">
        <v>4.2859445912701437</v>
      </c>
      <c r="G101" s="8">
        <v>4.2859445912701437</v>
      </c>
    </row>
    <row r="102" spans="1:7" x14ac:dyDescent="0.2">
      <c r="A102">
        <v>656210</v>
      </c>
      <c r="B102">
        <v>19</v>
      </c>
      <c r="C102" t="s">
        <v>4</v>
      </c>
      <c r="D102">
        <v>2</v>
      </c>
      <c r="E102">
        <v>605</v>
      </c>
      <c r="F102" s="1">
        <v>5.2396419098088511</v>
      </c>
      <c r="G102" s="8">
        <v>5.2396419098088511</v>
      </c>
    </row>
    <row r="103" spans="1:7" x14ac:dyDescent="0.2">
      <c r="A103">
        <v>662277</v>
      </c>
      <c r="B103">
        <v>19</v>
      </c>
      <c r="C103" t="s">
        <v>4</v>
      </c>
      <c r="D103">
        <v>2</v>
      </c>
      <c r="E103">
        <v>640</v>
      </c>
      <c r="F103" s="1">
        <v>5.4136898158420061</v>
      </c>
      <c r="G103" s="8">
        <v>5.4136898158420061</v>
      </c>
    </row>
    <row r="104" spans="1:7" x14ac:dyDescent="0.2">
      <c r="A104">
        <v>663451</v>
      </c>
      <c r="B104">
        <v>18</v>
      </c>
      <c r="C104" t="s">
        <v>4</v>
      </c>
      <c r="D104">
        <v>2</v>
      </c>
      <c r="E104">
        <v>615</v>
      </c>
      <c r="F104" s="1">
        <v>5.2606822950870669</v>
      </c>
      <c r="G104" s="8">
        <v>5.2606822950870669</v>
      </c>
    </row>
    <row r="105" spans="1:7" x14ac:dyDescent="0.2">
      <c r="A105">
        <v>665000</v>
      </c>
      <c r="B105">
        <v>18</v>
      </c>
      <c r="C105" t="s">
        <v>4</v>
      </c>
      <c r="D105">
        <v>1</v>
      </c>
      <c r="E105">
        <v>635</v>
      </c>
      <c r="F105" s="1">
        <v>4.900465699928553</v>
      </c>
      <c r="G105" s="8">
        <v>4.900465699928553</v>
      </c>
    </row>
    <row r="106" spans="1:7" x14ac:dyDescent="0.2">
      <c r="A106">
        <v>668035</v>
      </c>
      <c r="B106">
        <v>25</v>
      </c>
      <c r="C106" t="s">
        <v>4</v>
      </c>
      <c r="D106">
        <v>1</v>
      </c>
      <c r="E106">
        <v>610</v>
      </c>
      <c r="F106" s="1">
        <v>5.1166153953094762</v>
      </c>
      <c r="G106" s="8">
        <v>5.1166153953094762</v>
      </c>
    </row>
    <row r="107" spans="1:7" x14ac:dyDescent="0.2">
      <c r="A107">
        <v>683770</v>
      </c>
      <c r="B107">
        <v>19</v>
      </c>
      <c r="C107" t="s">
        <v>4</v>
      </c>
      <c r="D107">
        <v>2</v>
      </c>
      <c r="E107">
        <v>540</v>
      </c>
      <c r="F107" s="1">
        <v>4.6117757373721933</v>
      </c>
      <c r="G107" s="8">
        <v>4.6117757373721933</v>
      </c>
    </row>
    <row r="108" spans="1:7" x14ac:dyDescent="0.2">
      <c r="A108">
        <v>687082</v>
      </c>
      <c r="B108">
        <v>18</v>
      </c>
      <c r="C108" t="s">
        <v>4</v>
      </c>
      <c r="D108">
        <v>2</v>
      </c>
      <c r="E108">
        <v>632</v>
      </c>
      <c r="F108" s="1">
        <v>5.1766386974447993</v>
      </c>
      <c r="G108" s="8">
        <v>5.1766386974447993</v>
      </c>
    </row>
    <row r="109" spans="1:7" x14ac:dyDescent="0.2">
      <c r="A109">
        <v>711058</v>
      </c>
      <c r="B109">
        <v>24</v>
      </c>
      <c r="C109" t="s">
        <v>4</v>
      </c>
      <c r="D109">
        <v>2</v>
      </c>
      <c r="E109">
        <v>560</v>
      </c>
      <c r="F109" s="1">
        <v>5.1455701988697182</v>
      </c>
      <c r="G109" s="8">
        <v>5.1455701988697182</v>
      </c>
    </row>
    <row r="110" spans="1:7" x14ac:dyDescent="0.2">
      <c r="A110">
        <v>727450</v>
      </c>
      <c r="B110">
        <v>21</v>
      </c>
      <c r="C110" t="s">
        <v>4</v>
      </c>
      <c r="D110">
        <v>2</v>
      </c>
      <c r="E110">
        <v>540</v>
      </c>
      <c r="F110" s="1">
        <v>4.6270253876887706</v>
      </c>
      <c r="G110" s="8">
        <v>4.6270253876887706</v>
      </c>
    </row>
    <row r="111" spans="1:7" x14ac:dyDescent="0.2">
      <c r="A111">
        <v>728059</v>
      </c>
      <c r="B111">
        <v>20</v>
      </c>
      <c r="C111" t="s">
        <v>4</v>
      </c>
      <c r="D111">
        <v>2</v>
      </c>
      <c r="E111">
        <v>593</v>
      </c>
      <c r="F111" s="1">
        <v>5.0059196173339977</v>
      </c>
      <c r="G111" s="8">
        <v>5.0059196173339977</v>
      </c>
    </row>
    <row r="112" spans="1:7" x14ac:dyDescent="0.2">
      <c r="A112">
        <v>734605</v>
      </c>
      <c r="B112">
        <v>19</v>
      </c>
      <c r="C112" t="s">
        <v>4</v>
      </c>
      <c r="D112">
        <v>2</v>
      </c>
      <c r="E112">
        <v>602</v>
      </c>
      <c r="F112" s="1">
        <v>4.8856277614973624</v>
      </c>
      <c r="G112" s="8">
        <v>4.8856277614973624</v>
      </c>
    </row>
    <row r="113" spans="1:7" x14ac:dyDescent="0.2">
      <c r="A113">
        <v>743716</v>
      </c>
      <c r="B113">
        <v>18</v>
      </c>
      <c r="C113" t="s">
        <v>4</v>
      </c>
      <c r="D113">
        <v>2</v>
      </c>
      <c r="E113">
        <v>630</v>
      </c>
      <c r="F113" s="1">
        <v>5.1520233322548208</v>
      </c>
      <c r="G113" s="8">
        <v>5.1520233322548208</v>
      </c>
    </row>
    <row r="114" spans="1:7" x14ac:dyDescent="0.2">
      <c r="A114">
        <v>746398</v>
      </c>
      <c r="B114">
        <v>19</v>
      </c>
      <c r="C114" t="s">
        <v>4</v>
      </c>
      <c r="D114">
        <v>2</v>
      </c>
      <c r="E114">
        <v>643</v>
      </c>
      <c r="F114" s="1">
        <v>5.7862376104635258</v>
      </c>
      <c r="G114" s="8">
        <v>5.7862376104635258</v>
      </c>
    </row>
    <row r="115" spans="1:7" x14ac:dyDescent="0.2">
      <c r="A115">
        <v>747557</v>
      </c>
      <c r="B115">
        <v>18</v>
      </c>
      <c r="C115" t="s">
        <v>4</v>
      </c>
      <c r="D115">
        <v>1</v>
      </c>
      <c r="E115">
        <v>632</v>
      </c>
      <c r="F115" s="1">
        <v>5.6273648563881595</v>
      </c>
      <c r="G115" s="8">
        <v>5.6273648563881595</v>
      </c>
    </row>
    <row r="116" spans="1:7" x14ac:dyDescent="0.2">
      <c r="A116">
        <v>750513</v>
      </c>
      <c r="B116">
        <v>18</v>
      </c>
      <c r="C116" t="s">
        <v>4</v>
      </c>
      <c r="D116">
        <v>2</v>
      </c>
      <c r="E116">
        <v>662</v>
      </c>
      <c r="F116" s="1">
        <v>5.4087771914495226</v>
      </c>
      <c r="G116" s="8">
        <v>5.4087771914495226</v>
      </c>
    </row>
    <row r="117" spans="1:7" x14ac:dyDescent="0.2">
      <c r="A117">
        <v>752474</v>
      </c>
      <c r="B117">
        <v>18</v>
      </c>
      <c r="C117" t="s">
        <v>4</v>
      </c>
      <c r="D117">
        <v>2</v>
      </c>
      <c r="E117">
        <v>610</v>
      </c>
      <c r="F117" s="1">
        <v>5.2965594864102528</v>
      </c>
      <c r="G117" s="8">
        <v>5.2965594864102528</v>
      </c>
    </row>
    <row r="118" spans="1:7" x14ac:dyDescent="0.2">
      <c r="A118">
        <v>757489</v>
      </c>
      <c r="B118">
        <v>20</v>
      </c>
      <c r="C118" t="s">
        <v>4</v>
      </c>
      <c r="D118">
        <v>1</v>
      </c>
      <c r="E118">
        <v>580</v>
      </c>
      <c r="F118" s="1">
        <v>5.3557399232141822</v>
      </c>
      <c r="G118" s="8">
        <v>5.3557399232141822</v>
      </c>
    </row>
    <row r="119" spans="1:7" x14ac:dyDescent="0.2">
      <c r="A119">
        <v>767469</v>
      </c>
      <c r="B119">
        <v>18</v>
      </c>
      <c r="C119" t="s">
        <v>4</v>
      </c>
      <c r="D119">
        <v>2</v>
      </c>
      <c r="E119">
        <v>630</v>
      </c>
      <c r="F119" s="1">
        <v>4.5175666601126601</v>
      </c>
      <c r="G119" s="8">
        <v>4.5175666601126601</v>
      </c>
    </row>
    <row r="120" spans="1:7" x14ac:dyDescent="0.2">
      <c r="A120">
        <v>773637</v>
      </c>
      <c r="B120">
        <v>19</v>
      </c>
      <c r="C120" t="s">
        <v>4</v>
      </c>
      <c r="D120">
        <v>1</v>
      </c>
      <c r="E120">
        <v>570</v>
      </c>
      <c r="F120" s="1">
        <v>4.6722712005554774</v>
      </c>
      <c r="G120" s="8">
        <v>4.6722712005554774</v>
      </c>
    </row>
    <row r="121" spans="1:7" x14ac:dyDescent="0.2">
      <c r="A121">
        <v>774857</v>
      </c>
      <c r="B121">
        <v>18</v>
      </c>
      <c r="C121" t="s">
        <v>4</v>
      </c>
      <c r="D121">
        <v>2</v>
      </c>
      <c r="E121">
        <v>630</v>
      </c>
      <c r="F121" s="1">
        <v>5.0490904312129326</v>
      </c>
      <c r="G121" s="8">
        <v>5.0490904312129326</v>
      </c>
    </row>
    <row r="122" spans="1:7" x14ac:dyDescent="0.2">
      <c r="A122">
        <v>776423</v>
      </c>
      <c r="B122">
        <v>21</v>
      </c>
      <c r="C122" t="s">
        <v>4</v>
      </c>
      <c r="D122">
        <v>1</v>
      </c>
      <c r="E122">
        <v>540</v>
      </c>
      <c r="F122" s="1">
        <v>5.0557551161765621</v>
      </c>
      <c r="G122" s="8">
        <v>5.0557551161765621</v>
      </c>
    </row>
    <row r="123" spans="1:7" x14ac:dyDescent="0.2">
      <c r="A123">
        <v>782355</v>
      </c>
      <c r="B123">
        <v>18</v>
      </c>
      <c r="C123" t="s">
        <v>4</v>
      </c>
      <c r="D123">
        <v>2</v>
      </c>
      <c r="E123">
        <v>600</v>
      </c>
      <c r="F123" s="1">
        <v>5.1565519686279524</v>
      </c>
      <c r="G123" s="8">
        <v>5.1565519686279524</v>
      </c>
    </row>
    <row r="124" spans="1:7" x14ac:dyDescent="0.2">
      <c r="A124">
        <v>786915</v>
      </c>
      <c r="B124">
        <v>18</v>
      </c>
      <c r="C124" t="s">
        <v>4</v>
      </c>
      <c r="D124">
        <v>2</v>
      </c>
      <c r="E124">
        <v>575</v>
      </c>
      <c r="F124" s="1">
        <v>4.6510682602497715</v>
      </c>
      <c r="G124" s="8">
        <v>4.6510682602497715</v>
      </c>
    </row>
    <row r="125" spans="1:7" x14ac:dyDescent="0.2">
      <c r="A125">
        <v>792876</v>
      </c>
      <c r="B125">
        <v>18</v>
      </c>
      <c r="C125" t="s">
        <v>4</v>
      </c>
      <c r="D125">
        <v>1</v>
      </c>
      <c r="E125">
        <v>655</v>
      </c>
      <c r="F125" s="1">
        <v>5.0693722966383241</v>
      </c>
      <c r="G125" s="8">
        <v>5.0693722966383241</v>
      </c>
    </row>
    <row r="126" spans="1:7" x14ac:dyDescent="0.2">
      <c r="A126">
        <v>820831</v>
      </c>
      <c r="B126">
        <v>26</v>
      </c>
      <c r="C126" t="s">
        <v>4</v>
      </c>
      <c r="D126">
        <v>2</v>
      </c>
      <c r="E126">
        <v>582</v>
      </c>
      <c r="F126" s="1">
        <v>4.6022981400619667</v>
      </c>
      <c r="G126" s="8">
        <v>4.6022981400619667</v>
      </c>
    </row>
    <row r="127" spans="1:7" x14ac:dyDescent="0.2">
      <c r="A127">
        <v>830172</v>
      </c>
      <c r="B127">
        <v>20</v>
      </c>
      <c r="C127" t="s">
        <v>4</v>
      </c>
      <c r="D127">
        <v>2</v>
      </c>
      <c r="E127">
        <v>610</v>
      </c>
      <c r="F127" s="1">
        <v>5.1951067815496454</v>
      </c>
      <c r="G127" s="8">
        <v>5.1951067815496454</v>
      </c>
    </row>
    <row r="128" spans="1:7" x14ac:dyDescent="0.2">
      <c r="A128">
        <v>840344</v>
      </c>
      <c r="B128">
        <v>19</v>
      </c>
      <c r="C128" t="s">
        <v>4</v>
      </c>
      <c r="D128">
        <v>2</v>
      </c>
      <c r="E128">
        <v>652</v>
      </c>
      <c r="F128" s="1">
        <v>5.2972499937292046</v>
      </c>
      <c r="G128" s="8">
        <v>5.2972499937292046</v>
      </c>
    </row>
    <row r="129" spans="1:7" x14ac:dyDescent="0.2">
      <c r="A129">
        <v>852078</v>
      </c>
      <c r="B129">
        <v>20</v>
      </c>
      <c r="C129" t="s">
        <v>4</v>
      </c>
      <c r="D129">
        <v>1</v>
      </c>
      <c r="E129">
        <v>565</v>
      </c>
      <c r="F129" s="1">
        <v>5.1041165659783605</v>
      </c>
      <c r="G129" s="8">
        <v>5.1041165659783605</v>
      </c>
    </row>
    <row r="130" spans="1:7" x14ac:dyDescent="0.2">
      <c r="A130">
        <v>852990</v>
      </c>
      <c r="B130">
        <v>18</v>
      </c>
      <c r="C130" t="s">
        <v>4</v>
      </c>
      <c r="D130">
        <v>2</v>
      </c>
      <c r="E130">
        <v>580</v>
      </c>
      <c r="F130" s="1">
        <v>4.6866964040815597</v>
      </c>
      <c r="G130" s="8">
        <v>4.6866964040815597</v>
      </c>
    </row>
    <row r="131" spans="1:7" x14ac:dyDescent="0.2">
      <c r="A131">
        <v>853250</v>
      </c>
      <c r="B131">
        <v>19</v>
      </c>
      <c r="C131" t="s">
        <v>4</v>
      </c>
      <c r="D131">
        <v>2</v>
      </c>
      <c r="E131">
        <v>635</v>
      </c>
      <c r="F131" s="1">
        <v>5.1812396875611606</v>
      </c>
      <c r="G131" s="8">
        <v>5.1812396875611606</v>
      </c>
    </row>
    <row r="132" spans="1:7" x14ac:dyDescent="0.2">
      <c r="A132">
        <v>854950</v>
      </c>
      <c r="B132">
        <v>20</v>
      </c>
      <c r="C132" t="s">
        <v>4</v>
      </c>
      <c r="D132">
        <v>1</v>
      </c>
      <c r="E132">
        <v>610</v>
      </c>
      <c r="F132" s="1">
        <v>5.3725353338152599</v>
      </c>
      <c r="G132" s="8">
        <v>5.3725353338152599</v>
      </c>
    </row>
    <row r="133" spans="1:7" x14ac:dyDescent="0.2">
      <c r="A133">
        <v>860564</v>
      </c>
      <c r="B133">
        <v>18</v>
      </c>
      <c r="C133" t="s">
        <v>4</v>
      </c>
      <c r="D133">
        <v>2</v>
      </c>
      <c r="E133">
        <v>580</v>
      </c>
      <c r="F133" s="1">
        <v>5.0228552741683101</v>
      </c>
      <c r="G133" s="8">
        <v>5.0228552741683101</v>
      </c>
    </row>
    <row r="134" spans="1:7" x14ac:dyDescent="0.2">
      <c r="A134">
        <v>861843</v>
      </c>
      <c r="B134">
        <v>18</v>
      </c>
      <c r="C134" t="s">
        <v>4</v>
      </c>
      <c r="D134">
        <v>2</v>
      </c>
      <c r="E134">
        <v>677</v>
      </c>
      <c r="F134" s="1">
        <v>5.7858572043962271</v>
      </c>
      <c r="G134" s="8">
        <v>5.7858572043962271</v>
      </c>
    </row>
    <row r="135" spans="1:7" x14ac:dyDescent="0.2">
      <c r="A135">
        <v>866523</v>
      </c>
      <c r="B135">
        <v>21</v>
      </c>
      <c r="C135" t="s">
        <v>4</v>
      </c>
      <c r="D135">
        <v>2</v>
      </c>
      <c r="E135">
        <v>613</v>
      </c>
      <c r="F135" s="1">
        <v>5.1012104361594526</v>
      </c>
      <c r="G135" s="8">
        <v>5.1012104361594526</v>
      </c>
    </row>
    <row r="136" spans="1:7" x14ac:dyDescent="0.2">
      <c r="A136">
        <v>868857</v>
      </c>
      <c r="B136">
        <v>19</v>
      </c>
      <c r="C136" t="s">
        <v>4</v>
      </c>
      <c r="D136">
        <v>1</v>
      </c>
      <c r="E136">
        <v>555</v>
      </c>
      <c r="F136" s="1">
        <v>4.6019953030581835</v>
      </c>
      <c r="G136" s="8">
        <v>4.6019953030581835</v>
      </c>
    </row>
    <row r="137" spans="1:7" x14ac:dyDescent="0.2">
      <c r="A137">
        <v>870165</v>
      </c>
      <c r="B137">
        <v>19</v>
      </c>
      <c r="C137" t="s">
        <v>4</v>
      </c>
      <c r="D137">
        <v>1</v>
      </c>
      <c r="E137">
        <v>614</v>
      </c>
      <c r="F137" s="1">
        <v>5.1141901394860678</v>
      </c>
      <c r="G137" s="8">
        <v>5.1141901394860678</v>
      </c>
    </row>
    <row r="138" spans="1:7" x14ac:dyDescent="0.2">
      <c r="A138">
        <v>876721</v>
      </c>
      <c r="B138">
        <v>18</v>
      </c>
      <c r="C138" t="s">
        <v>4</v>
      </c>
      <c r="D138">
        <v>2</v>
      </c>
      <c r="E138">
        <v>634</v>
      </c>
      <c r="F138" s="1">
        <v>4.7441421576006872</v>
      </c>
      <c r="G138" s="8">
        <v>4.7441421576006872</v>
      </c>
    </row>
    <row r="139" spans="1:7" x14ac:dyDescent="0.2">
      <c r="A139">
        <v>880990</v>
      </c>
      <c r="B139">
        <v>18</v>
      </c>
      <c r="C139" t="s">
        <v>4</v>
      </c>
      <c r="D139">
        <v>2</v>
      </c>
      <c r="E139">
        <v>627</v>
      </c>
      <c r="F139" s="1">
        <v>5.3896353058505673</v>
      </c>
      <c r="G139" s="8">
        <v>5.3896353058505673</v>
      </c>
    </row>
    <row r="140" spans="1:7" x14ac:dyDescent="0.2">
      <c r="A140">
        <v>882704</v>
      </c>
      <c r="B140">
        <v>19</v>
      </c>
      <c r="C140" t="s">
        <v>4</v>
      </c>
      <c r="D140">
        <v>2</v>
      </c>
      <c r="E140">
        <v>632</v>
      </c>
      <c r="F140" s="1">
        <v>5.6302740709866033</v>
      </c>
      <c r="G140" s="8">
        <v>5.6302740709866033</v>
      </c>
    </row>
    <row r="141" spans="1:7" x14ac:dyDescent="0.2">
      <c r="A141">
        <v>883535</v>
      </c>
      <c r="B141">
        <v>20</v>
      </c>
      <c r="C141" t="s">
        <v>4</v>
      </c>
      <c r="D141">
        <v>1</v>
      </c>
      <c r="E141">
        <v>515</v>
      </c>
      <c r="F141" s="1">
        <v>4.1527408361475953</v>
      </c>
      <c r="G141" s="8">
        <v>4.1527408361475953</v>
      </c>
    </row>
    <row r="142" spans="1:7" x14ac:dyDescent="0.2">
      <c r="A142">
        <v>898024</v>
      </c>
      <c r="B142">
        <v>19</v>
      </c>
      <c r="C142" t="s">
        <v>4</v>
      </c>
      <c r="D142">
        <v>2</v>
      </c>
      <c r="E142">
        <v>590</v>
      </c>
      <c r="F142" s="1">
        <v>4.9584530970390714</v>
      </c>
      <c r="G142" s="8">
        <v>4.9584530970390714</v>
      </c>
    </row>
    <row r="143" spans="1:7" x14ac:dyDescent="0.2">
      <c r="A143">
        <v>917270</v>
      </c>
      <c r="B143">
        <v>18</v>
      </c>
      <c r="C143" t="s">
        <v>4</v>
      </c>
      <c r="D143">
        <v>2</v>
      </c>
      <c r="E143">
        <v>634</v>
      </c>
      <c r="F143" s="1">
        <v>5.3469640580381634</v>
      </c>
      <c r="G143" s="8">
        <v>5.3469640580381634</v>
      </c>
    </row>
    <row r="144" spans="1:7" x14ac:dyDescent="0.2">
      <c r="A144">
        <v>919197</v>
      </c>
      <c r="B144">
        <v>19</v>
      </c>
      <c r="C144" t="s">
        <v>4</v>
      </c>
      <c r="D144">
        <v>2</v>
      </c>
      <c r="E144">
        <v>643</v>
      </c>
      <c r="F144" s="1">
        <v>5.2784897661277093</v>
      </c>
      <c r="G144" s="8">
        <v>5.2784897661277093</v>
      </c>
    </row>
    <row r="145" spans="1:7" x14ac:dyDescent="0.2">
      <c r="A145">
        <v>926239</v>
      </c>
      <c r="B145">
        <v>18</v>
      </c>
      <c r="C145" t="s">
        <v>4</v>
      </c>
      <c r="D145">
        <v>2</v>
      </c>
      <c r="E145">
        <v>608</v>
      </c>
      <c r="F145" s="1">
        <v>5.2693004035446087</v>
      </c>
      <c r="G145" s="8">
        <v>5.2693004035446087</v>
      </c>
    </row>
    <row r="146" spans="1:7" x14ac:dyDescent="0.2">
      <c r="A146">
        <v>946087</v>
      </c>
      <c r="B146">
        <v>20</v>
      </c>
      <c r="C146" t="s">
        <v>4</v>
      </c>
      <c r="D146">
        <v>2</v>
      </c>
      <c r="E146">
        <v>544</v>
      </c>
      <c r="F146" s="1">
        <v>4.4864479399285768</v>
      </c>
      <c r="G146" s="8">
        <v>4.4864479399285768</v>
      </c>
    </row>
    <row r="147" spans="1:7" x14ac:dyDescent="0.2">
      <c r="A147">
        <v>954284</v>
      </c>
      <c r="B147">
        <v>21</v>
      </c>
      <c r="C147" t="s">
        <v>4</v>
      </c>
      <c r="D147">
        <v>2</v>
      </c>
      <c r="E147">
        <v>587</v>
      </c>
      <c r="F147" s="1">
        <v>4.7687531642294632</v>
      </c>
      <c r="G147" s="8">
        <v>4.7687531642294632</v>
      </c>
    </row>
    <row r="148" spans="1:7" x14ac:dyDescent="0.2">
      <c r="A148">
        <v>955436</v>
      </c>
      <c r="B148">
        <v>18</v>
      </c>
      <c r="C148" t="s">
        <v>4</v>
      </c>
      <c r="D148">
        <v>1</v>
      </c>
      <c r="E148">
        <v>670</v>
      </c>
      <c r="F148" s="1">
        <v>5.0963189072385591</v>
      </c>
      <c r="G148" s="8">
        <v>5.0963189072385591</v>
      </c>
    </row>
    <row r="149" spans="1:7" x14ac:dyDescent="0.2">
      <c r="A149">
        <v>956895</v>
      </c>
      <c r="B149">
        <v>18</v>
      </c>
      <c r="C149" t="s">
        <v>4</v>
      </c>
      <c r="D149">
        <v>2</v>
      </c>
      <c r="E149">
        <v>530</v>
      </c>
      <c r="F149" s="1">
        <v>4.4828665412619833</v>
      </c>
      <c r="G149" s="8">
        <v>4.4828665412619833</v>
      </c>
    </row>
    <row r="150" spans="1:7" x14ac:dyDescent="0.2">
      <c r="A150">
        <v>958276</v>
      </c>
      <c r="B150">
        <v>19</v>
      </c>
      <c r="C150" t="s">
        <v>4</v>
      </c>
      <c r="D150">
        <v>1</v>
      </c>
      <c r="E150">
        <v>560</v>
      </c>
      <c r="F150" s="1">
        <v>4.6685931352784618</v>
      </c>
      <c r="G150" s="8">
        <v>4.6685931352784618</v>
      </c>
    </row>
    <row r="151" spans="1:7" x14ac:dyDescent="0.2">
      <c r="A151">
        <v>958551</v>
      </c>
      <c r="C151" t="s">
        <v>4</v>
      </c>
      <c r="D151">
        <v>3</v>
      </c>
      <c r="E151">
        <v>655</v>
      </c>
      <c r="F151" s="1">
        <v>5.3379273416092454</v>
      </c>
      <c r="G151" s="8">
        <v>5.3379273416092454</v>
      </c>
    </row>
    <row r="152" spans="1:7" x14ac:dyDescent="0.2">
      <c r="A152">
        <v>969037</v>
      </c>
      <c r="C152" t="s">
        <v>4</v>
      </c>
      <c r="D152">
        <v>3</v>
      </c>
      <c r="E152">
        <v>599</v>
      </c>
      <c r="F152" s="1">
        <v>5.4012164623094048</v>
      </c>
      <c r="G152" s="8">
        <v>5.4012164623094048</v>
      </c>
    </row>
    <row r="153" spans="1:7" x14ac:dyDescent="0.2">
      <c r="A153">
        <v>969130</v>
      </c>
      <c r="B153">
        <v>18</v>
      </c>
      <c r="C153" t="s">
        <v>4</v>
      </c>
      <c r="D153">
        <v>2</v>
      </c>
      <c r="E153">
        <v>600</v>
      </c>
      <c r="F153" s="1">
        <v>5.0430123640121796</v>
      </c>
      <c r="G153" s="8">
        <v>5.0430123640121796</v>
      </c>
    </row>
    <row r="154" spans="1:7" x14ac:dyDescent="0.2">
      <c r="A154">
        <v>972245</v>
      </c>
      <c r="B154">
        <v>20</v>
      </c>
      <c r="C154" t="s">
        <v>4</v>
      </c>
      <c r="D154">
        <v>2</v>
      </c>
      <c r="E154">
        <v>600</v>
      </c>
      <c r="F154" s="1">
        <v>4.797583862430792</v>
      </c>
      <c r="G154" s="8">
        <v>4.797583862430792</v>
      </c>
    </row>
    <row r="155" spans="1:7" x14ac:dyDescent="0.2">
      <c r="A155">
        <v>974308</v>
      </c>
      <c r="B155">
        <v>21</v>
      </c>
      <c r="C155" t="s">
        <v>4</v>
      </c>
      <c r="D155">
        <v>2</v>
      </c>
      <c r="E155">
        <v>580</v>
      </c>
      <c r="F155" s="1">
        <v>5.0547137401074114</v>
      </c>
      <c r="G155" s="8">
        <v>5.0547137401074114</v>
      </c>
    </row>
    <row r="156" spans="1:7" x14ac:dyDescent="0.2">
      <c r="A156">
        <v>976741</v>
      </c>
      <c r="B156">
        <v>18</v>
      </c>
      <c r="C156" t="s">
        <v>4</v>
      </c>
      <c r="D156">
        <v>2</v>
      </c>
      <c r="E156">
        <v>592</v>
      </c>
      <c r="F156" s="1">
        <v>5.0791865983169062</v>
      </c>
      <c r="G156" s="8">
        <v>5.0791865983169062</v>
      </c>
    </row>
    <row r="157" spans="1:7" x14ac:dyDescent="0.2">
      <c r="A157">
        <v>978455</v>
      </c>
      <c r="B157">
        <v>18</v>
      </c>
      <c r="C157" t="s">
        <v>4</v>
      </c>
      <c r="D157">
        <v>2</v>
      </c>
      <c r="E157">
        <v>662</v>
      </c>
      <c r="F157" s="1">
        <v>5.662527251554617</v>
      </c>
      <c r="G157" s="8">
        <v>5.662527251554617</v>
      </c>
    </row>
    <row r="158" spans="1:7" x14ac:dyDescent="0.2">
      <c r="A158">
        <v>983562</v>
      </c>
      <c r="B158">
        <v>32</v>
      </c>
      <c r="C158" t="s">
        <v>4</v>
      </c>
      <c r="D158">
        <v>2</v>
      </c>
      <c r="E158">
        <v>560</v>
      </c>
      <c r="F158" s="1">
        <v>5.1873448135560967</v>
      </c>
      <c r="G158" s="8">
        <v>5.1873448135560967</v>
      </c>
    </row>
    <row r="159" spans="1:7" x14ac:dyDescent="0.2">
      <c r="A159">
        <v>983771</v>
      </c>
      <c r="B159">
        <v>18</v>
      </c>
      <c r="C159" t="s">
        <v>4</v>
      </c>
      <c r="D159">
        <v>2</v>
      </c>
      <c r="E159">
        <v>670</v>
      </c>
      <c r="F159" s="1">
        <v>5.6316614970613958</v>
      </c>
      <c r="G159" s="8">
        <v>5.6316614970613958</v>
      </c>
    </row>
    <row r="160" spans="1:7" x14ac:dyDescent="0.2">
      <c r="A160">
        <v>989789</v>
      </c>
      <c r="B160">
        <v>19</v>
      </c>
      <c r="C160" t="s">
        <v>4</v>
      </c>
      <c r="D160">
        <v>1</v>
      </c>
      <c r="E160">
        <v>643</v>
      </c>
      <c r="F160" s="1">
        <v>4.9849409089593628</v>
      </c>
      <c r="G160" s="8">
        <v>4.9849409089593628</v>
      </c>
    </row>
    <row r="161" spans="1:7" x14ac:dyDescent="0.2">
      <c r="A161">
        <v>994351</v>
      </c>
      <c r="B161">
        <v>19</v>
      </c>
      <c r="C161" t="s">
        <v>4</v>
      </c>
      <c r="D161">
        <v>1</v>
      </c>
      <c r="E161">
        <v>675</v>
      </c>
      <c r="F161" s="1"/>
      <c r="G161" s="8"/>
    </row>
    <row r="162" spans="1:7" x14ac:dyDescent="0.2">
      <c r="A162">
        <v>1004338</v>
      </c>
      <c r="B162">
        <v>19</v>
      </c>
      <c r="C162" t="s">
        <v>4</v>
      </c>
      <c r="D162">
        <v>2</v>
      </c>
      <c r="E162">
        <v>585</v>
      </c>
      <c r="F162" s="1">
        <v>4.8217932760978384</v>
      </c>
      <c r="G162" s="8">
        <v>4.8217932760978384</v>
      </c>
    </row>
    <row r="163" spans="1:7" x14ac:dyDescent="0.2">
      <c r="A163">
        <v>1011040</v>
      </c>
      <c r="B163">
        <v>19</v>
      </c>
      <c r="C163" t="s">
        <v>4</v>
      </c>
      <c r="D163">
        <v>2</v>
      </c>
      <c r="E163">
        <v>660</v>
      </c>
      <c r="F163" s="1">
        <v>5.7004524227335427</v>
      </c>
      <c r="G163" s="8">
        <v>5.7004524227335427</v>
      </c>
    </row>
    <row r="164" spans="1:7" x14ac:dyDescent="0.2">
      <c r="A164">
        <v>1012805</v>
      </c>
      <c r="C164" t="s">
        <v>4</v>
      </c>
      <c r="D164">
        <v>3</v>
      </c>
      <c r="E164">
        <v>633</v>
      </c>
      <c r="F164" s="1">
        <v>4.8053315310621674</v>
      </c>
      <c r="G164" s="8">
        <v>4.8053315310621674</v>
      </c>
    </row>
    <row r="165" spans="1:7" x14ac:dyDescent="0.2">
      <c r="A165">
        <v>1015163</v>
      </c>
      <c r="B165">
        <v>18</v>
      </c>
      <c r="C165" t="s">
        <v>4</v>
      </c>
      <c r="D165">
        <v>2</v>
      </c>
      <c r="E165">
        <v>637</v>
      </c>
      <c r="F165" s="1">
        <v>4.8325660248925066</v>
      </c>
      <c r="G165" s="8">
        <v>4.8325660248925066</v>
      </c>
    </row>
    <row r="166" spans="1:7" x14ac:dyDescent="0.2">
      <c r="A166">
        <v>7771</v>
      </c>
      <c r="B166">
        <v>19</v>
      </c>
      <c r="C166" t="s">
        <v>5</v>
      </c>
      <c r="D166">
        <v>1</v>
      </c>
      <c r="E166">
        <v>590</v>
      </c>
      <c r="F166" s="1">
        <v>4.9894684578748532</v>
      </c>
      <c r="G166" s="8">
        <v>4.9894684578748532</v>
      </c>
    </row>
    <row r="167" spans="1:7" x14ac:dyDescent="0.2">
      <c r="A167">
        <v>9935</v>
      </c>
      <c r="B167">
        <v>19</v>
      </c>
      <c r="C167" t="s">
        <v>5</v>
      </c>
      <c r="D167">
        <v>1</v>
      </c>
      <c r="E167">
        <v>593</v>
      </c>
      <c r="F167" s="1">
        <v>5.4941468435444794</v>
      </c>
      <c r="G167" s="8">
        <v>5.4941468435444794</v>
      </c>
    </row>
    <row r="168" spans="1:7" x14ac:dyDescent="0.2">
      <c r="A168">
        <v>10307</v>
      </c>
      <c r="B168">
        <v>20</v>
      </c>
      <c r="C168" t="s">
        <v>5</v>
      </c>
      <c r="D168">
        <v>2</v>
      </c>
      <c r="E168">
        <v>558</v>
      </c>
      <c r="F168" s="1">
        <v>4.9602020016105026</v>
      </c>
      <c r="G168" s="8">
        <v>4.9602020016105026</v>
      </c>
    </row>
    <row r="169" spans="1:7" x14ac:dyDescent="0.2">
      <c r="A169">
        <v>25168</v>
      </c>
      <c r="B169">
        <v>23</v>
      </c>
      <c r="C169" t="s">
        <v>5</v>
      </c>
      <c r="D169">
        <v>2</v>
      </c>
      <c r="E169">
        <v>540</v>
      </c>
      <c r="F169" s="1">
        <v>4.1188700594652436</v>
      </c>
      <c r="G169" s="8">
        <v>4.1188700594652436</v>
      </c>
    </row>
    <row r="170" spans="1:7" x14ac:dyDescent="0.2">
      <c r="A170">
        <v>43554</v>
      </c>
      <c r="B170">
        <v>18</v>
      </c>
      <c r="C170" t="s">
        <v>5</v>
      </c>
      <c r="D170">
        <v>2</v>
      </c>
      <c r="E170">
        <v>600</v>
      </c>
      <c r="F170" s="1">
        <v>4.8131052343716254</v>
      </c>
      <c r="G170" s="8">
        <v>4.8131052343716254</v>
      </c>
    </row>
    <row r="171" spans="1:7" x14ac:dyDescent="0.2">
      <c r="A171">
        <v>46444</v>
      </c>
      <c r="B171">
        <v>18</v>
      </c>
      <c r="C171" t="s">
        <v>5</v>
      </c>
      <c r="D171">
        <v>3</v>
      </c>
      <c r="E171">
        <v>610</v>
      </c>
      <c r="F171" s="1">
        <v>5.4375856971746801</v>
      </c>
      <c r="G171" s="8">
        <v>5.4375856971746801</v>
      </c>
    </row>
    <row r="172" spans="1:7" x14ac:dyDescent="0.2">
      <c r="A172">
        <v>60763</v>
      </c>
      <c r="B172">
        <v>24</v>
      </c>
      <c r="C172" t="s">
        <v>5</v>
      </c>
      <c r="D172">
        <v>1</v>
      </c>
      <c r="E172">
        <v>475</v>
      </c>
      <c r="F172" s="1">
        <v>4.2105158664352196</v>
      </c>
      <c r="G172" s="8">
        <v>4.2105158664352196</v>
      </c>
    </row>
    <row r="173" spans="1:7" x14ac:dyDescent="0.2">
      <c r="A173">
        <v>61656</v>
      </c>
      <c r="B173">
        <v>18</v>
      </c>
      <c r="C173" t="s">
        <v>5</v>
      </c>
      <c r="D173">
        <v>1</v>
      </c>
      <c r="E173">
        <v>600</v>
      </c>
      <c r="F173" s="1">
        <v>4.8619979727382958</v>
      </c>
      <c r="G173" s="8">
        <v>4.8619979727382958</v>
      </c>
    </row>
    <row r="174" spans="1:7" x14ac:dyDescent="0.2">
      <c r="A174">
        <v>66268</v>
      </c>
      <c r="B174">
        <v>18</v>
      </c>
      <c r="C174" t="s">
        <v>5</v>
      </c>
      <c r="D174">
        <v>2</v>
      </c>
      <c r="E174">
        <v>676</v>
      </c>
      <c r="F174" s="1">
        <v>5.2555909160752927</v>
      </c>
      <c r="G174" s="8">
        <v>5.2555909160752927</v>
      </c>
    </row>
    <row r="175" spans="1:7" x14ac:dyDescent="0.2">
      <c r="A175">
        <v>69058</v>
      </c>
      <c r="B175">
        <v>18</v>
      </c>
      <c r="C175" t="s">
        <v>5</v>
      </c>
      <c r="D175">
        <v>2</v>
      </c>
      <c r="E175">
        <v>575</v>
      </c>
      <c r="F175" s="1">
        <v>4.8271021827307985</v>
      </c>
      <c r="G175" s="8">
        <v>4.8271021827307985</v>
      </c>
    </row>
    <row r="176" spans="1:7" x14ac:dyDescent="0.2">
      <c r="A176">
        <v>72265</v>
      </c>
      <c r="B176">
        <v>19</v>
      </c>
      <c r="C176" t="s">
        <v>5</v>
      </c>
      <c r="D176">
        <v>2</v>
      </c>
      <c r="E176">
        <v>610</v>
      </c>
      <c r="F176" s="1">
        <v>5.1096626320265033</v>
      </c>
      <c r="G176" s="8">
        <v>5.1096626320265033</v>
      </c>
    </row>
    <row r="177" spans="1:7" x14ac:dyDescent="0.2">
      <c r="A177">
        <v>73885</v>
      </c>
      <c r="B177">
        <v>19</v>
      </c>
      <c r="C177" t="s">
        <v>5</v>
      </c>
      <c r="D177">
        <v>3</v>
      </c>
      <c r="E177">
        <v>628</v>
      </c>
      <c r="F177" s="1">
        <v>5.1627879695165797</v>
      </c>
      <c r="G177" s="8">
        <v>5.1627879695165797</v>
      </c>
    </row>
    <row r="178" spans="1:7" x14ac:dyDescent="0.2">
      <c r="A178">
        <v>74523</v>
      </c>
      <c r="B178">
        <v>25</v>
      </c>
      <c r="C178" t="s">
        <v>5</v>
      </c>
      <c r="D178">
        <v>2</v>
      </c>
      <c r="E178">
        <v>575</v>
      </c>
      <c r="F178" s="1">
        <v>4.6604059078106177</v>
      </c>
      <c r="G178" s="8">
        <v>4.6604059078106177</v>
      </c>
    </row>
    <row r="179" spans="1:7" x14ac:dyDescent="0.2">
      <c r="A179">
        <v>75966</v>
      </c>
      <c r="B179">
        <v>19</v>
      </c>
      <c r="C179" t="s">
        <v>5</v>
      </c>
      <c r="D179">
        <v>1</v>
      </c>
      <c r="E179">
        <v>565</v>
      </c>
      <c r="F179" s="1">
        <v>4.9158051566671839</v>
      </c>
      <c r="G179" s="8">
        <v>4.9158051566671839</v>
      </c>
    </row>
    <row r="180" spans="1:7" x14ac:dyDescent="0.2">
      <c r="A180">
        <v>80662</v>
      </c>
      <c r="B180">
        <v>24</v>
      </c>
      <c r="C180" t="s">
        <v>5</v>
      </c>
      <c r="D180">
        <v>2</v>
      </c>
      <c r="E180">
        <v>548</v>
      </c>
      <c r="F180" s="1">
        <v>4.8071397057737872</v>
      </c>
      <c r="G180" s="8">
        <v>4.8071397057737872</v>
      </c>
    </row>
    <row r="181" spans="1:7" x14ac:dyDescent="0.2">
      <c r="A181">
        <v>80847</v>
      </c>
      <c r="B181">
        <v>19</v>
      </c>
      <c r="C181" t="s">
        <v>5</v>
      </c>
      <c r="D181">
        <v>2</v>
      </c>
      <c r="E181">
        <v>575</v>
      </c>
      <c r="F181" s="1">
        <v>4.9070346537103884</v>
      </c>
      <c r="G181" s="8">
        <v>4.9070346537103884</v>
      </c>
    </row>
    <row r="182" spans="1:7" x14ac:dyDescent="0.2">
      <c r="A182">
        <v>91829</v>
      </c>
      <c r="B182">
        <v>18</v>
      </c>
      <c r="C182" t="s">
        <v>5</v>
      </c>
      <c r="D182">
        <v>2</v>
      </c>
      <c r="E182">
        <v>607</v>
      </c>
      <c r="F182" s="1">
        <v>5.0275226206065868</v>
      </c>
      <c r="G182" s="8">
        <v>5.0275226206065868</v>
      </c>
    </row>
    <row r="183" spans="1:7" x14ac:dyDescent="0.2">
      <c r="A183">
        <v>92372</v>
      </c>
      <c r="B183">
        <v>18</v>
      </c>
      <c r="C183" t="s">
        <v>5</v>
      </c>
      <c r="D183">
        <v>2</v>
      </c>
      <c r="E183">
        <v>507</v>
      </c>
      <c r="F183" s="1">
        <v>5.0720799916428891</v>
      </c>
      <c r="G183" s="8">
        <v>5.0720799916428891</v>
      </c>
    </row>
    <row r="184" spans="1:7" x14ac:dyDescent="0.2">
      <c r="A184">
        <v>112265</v>
      </c>
      <c r="B184">
        <v>19</v>
      </c>
      <c r="C184" t="s">
        <v>5</v>
      </c>
      <c r="D184">
        <v>2</v>
      </c>
      <c r="E184">
        <v>640</v>
      </c>
      <c r="F184" s="1">
        <v>5.3817071404543926</v>
      </c>
      <c r="G184" s="8">
        <v>5.3817071404543926</v>
      </c>
    </row>
    <row r="185" spans="1:7" x14ac:dyDescent="0.2">
      <c r="A185">
        <v>114219</v>
      </c>
      <c r="B185">
        <v>27</v>
      </c>
      <c r="C185" t="s">
        <v>5</v>
      </c>
      <c r="D185">
        <v>1</v>
      </c>
      <c r="E185">
        <v>606</v>
      </c>
      <c r="F185" s="1">
        <v>5.1491532371386146</v>
      </c>
      <c r="G185" s="8">
        <v>5.1491532371386146</v>
      </c>
    </row>
    <row r="186" spans="1:7" x14ac:dyDescent="0.2">
      <c r="A186">
        <v>114614</v>
      </c>
      <c r="B186">
        <v>19</v>
      </c>
      <c r="C186" t="s">
        <v>5</v>
      </c>
      <c r="D186">
        <v>2</v>
      </c>
      <c r="E186">
        <v>513</v>
      </c>
      <c r="F186" s="1">
        <v>4.0282218275222972</v>
      </c>
      <c r="G186" s="8">
        <v>4.0282218275222972</v>
      </c>
    </row>
    <row r="187" spans="1:7" x14ac:dyDescent="0.2">
      <c r="A187">
        <v>127402</v>
      </c>
      <c r="B187">
        <v>18</v>
      </c>
      <c r="C187" t="s">
        <v>5</v>
      </c>
      <c r="D187">
        <v>2</v>
      </c>
      <c r="E187">
        <v>630</v>
      </c>
      <c r="F187" s="1">
        <v>4.9813739423133239</v>
      </c>
      <c r="G187" s="8">
        <v>4.9813739423133239</v>
      </c>
    </row>
    <row r="188" spans="1:7" x14ac:dyDescent="0.2">
      <c r="A188">
        <v>129273</v>
      </c>
      <c r="B188">
        <v>19</v>
      </c>
      <c r="C188" t="s">
        <v>5</v>
      </c>
      <c r="D188">
        <v>2</v>
      </c>
      <c r="E188">
        <v>625</v>
      </c>
      <c r="F188" s="1">
        <v>5.1052904026873724</v>
      </c>
      <c r="G188" s="8">
        <v>5.1052904026873724</v>
      </c>
    </row>
    <row r="189" spans="1:7" x14ac:dyDescent="0.2">
      <c r="A189">
        <v>130159</v>
      </c>
      <c r="B189">
        <v>19</v>
      </c>
      <c r="C189" t="s">
        <v>5</v>
      </c>
      <c r="D189">
        <v>2</v>
      </c>
      <c r="E189">
        <v>575</v>
      </c>
      <c r="F189" s="1">
        <v>5.061764148113423</v>
      </c>
      <c r="G189" s="8">
        <v>5.061764148113423</v>
      </c>
    </row>
    <row r="190" spans="1:7" x14ac:dyDescent="0.2">
      <c r="A190">
        <v>130242</v>
      </c>
      <c r="B190">
        <v>19</v>
      </c>
      <c r="C190" t="s">
        <v>5</v>
      </c>
      <c r="D190">
        <v>2</v>
      </c>
      <c r="E190">
        <v>607</v>
      </c>
      <c r="F190" s="1">
        <v>4.7723085959397027</v>
      </c>
      <c r="G190" s="8">
        <v>4.7723085959397027</v>
      </c>
    </row>
    <row r="191" spans="1:7" x14ac:dyDescent="0.2">
      <c r="A191">
        <v>142841</v>
      </c>
      <c r="B191">
        <v>20</v>
      </c>
      <c r="C191" t="s">
        <v>5</v>
      </c>
      <c r="D191">
        <v>3</v>
      </c>
      <c r="E191">
        <v>622</v>
      </c>
      <c r="F191" s="1">
        <v>5.0127703786343965</v>
      </c>
      <c r="G191" s="8">
        <v>5.0127703786343965</v>
      </c>
    </row>
    <row r="192" spans="1:7" x14ac:dyDescent="0.2">
      <c r="A192">
        <v>142904</v>
      </c>
      <c r="B192">
        <v>19</v>
      </c>
      <c r="C192" t="s">
        <v>5</v>
      </c>
      <c r="D192">
        <v>1</v>
      </c>
      <c r="E192">
        <v>547</v>
      </c>
      <c r="F192" s="1">
        <v>4.6277851608861198</v>
      </c>
      <c r="G192" s="8">
        <v>4.6277851608861198</v>
      </c>
    </row>
    <row r="193" spans="1:7" x14ac:dyDescent="0.2">
      <c r="A193">
        <v>152017</v>
      </c>
      <c r="B193">
        <v>22</v>
      </c>
      <c r="C193" t="s">
        <v>5</v>
      </c>
      <c r="D193">
        <v>1</v>
      </c>
      <c r="E193">
        <v>548</v>
      </c>
      <c r="F193" s="1">
        <v>4.4798488562329304</v>
      </c>
      <c r="G193" s="8">
        <v>4.4798488562329304</v>
      </c>
    </row>
    <row r="194" spans="1:7" x14ac:dyDescent="0.2">
      <c r="A194">
        <v>166052</v>
      </c>
      <c r="B194">
        <v>19</v>
      </c>
      <c r="C194" t="s">
        <v>5</v>
      </c>
      <c r="D194">
        <v>2</v>
      </c>
      <c r="E194">
        <v>573</v>
      </c>
      <c r="F194" s="1">
        <v>4.6965799165232154</v>
      </c>
      <c r="G194" s="8">
        <v>4.6965799165232154</v>
      </c>
    </row>
    <row r="195" spans="1:7" x14ac:dyDescent="0.2">
      <c r="A195">
        <v>170877</v>
      </c>
      <c r="B195">
        <v>19</v>
      </c>
      <c r="C195" t="s">
        <v>5</v>
      </c>
      <c r="D195">
        <v>2</v>
      </c>
      <c r="E195">
        <v>583</v>
      </c>
      <c r="F195" s="1">
        <v>4.3345197211897872</v>
      </c>
      <c r="G195" s="8">
        <v>4.3345197211897872</v>
      </c>
    </row>
    <row r="196" spans="1:7" x14ac:dyDescent="0.2">
      <c r="A196">
        <v>177282</v>
      </c>
      <c r="B196">
        <v>21</v>
      </c>
      <c r="C196" t="s">
        <v>5</v>
      </c>
      <c r="D196">
        <v>2</v>
      </c>
      <c r="E196">
        <v>648</v>
      </c>
      <c r="F196" s="1">
        <v>5.3926328839541506</v>
      </c>
      <c r="G196" s="8">
        <v>5.3926328839541506</v>
      </c>
    </row>
    <row r="197" spans="1:7" x14ac:dyDescent="0.2">
      <c r="A197">
        <v>177329</v>
      </c>
      <c r="B197">
        <v>19</v>
      </c>
      <c r="C197" t="s">
        <v>5</v>
      </c>
      <c r="D197">
        <v>2</v>
      </c>
      <c r="E197">
        <v>610</v>
      </c>
      <c r="F197" s="1">
        <v>5.0851267754358949</v>
      </c>
      <c r="G197" s="8">
        <v>5.0851267754358949</v>
      </c>
    </row>
    <row r="198" spans="1:7" x14ac:dyDescent="0.2">
      <c r="A198">
        <v>185837</v>
      </c>
      <c r="B198">
        <v>18</v>
      </c>
      <c r="C198" t="s">
        <v>5</v>
      </c>
      <c r="D198">
        <v>1</v>
      </c>
      <c r="E198">
        <v>665</v>
      </c>
      <c r="F198" s="1">
        <v>4.7659433516163325</v>
      </c>
      <c r="G198" s="8">
        <v>4.7659433516163325</v>
      </c>
    </row>
    <row r="199" spans="1:7" x14ac:dyDescent="0.2">
      <c r="A199">
        <v>193638</v>
      </c>
      <c r="B199">
        <v>18</v>
      </c>
      <c r="C199" t="s">
        <v>5</v>
      </c>
      <c r="D199">
        <v>2</v>
      </c>
      <c r="E199">
        <v>635</v>
      </c>
      <c r="F199" s="1">
        <v>5.2794853049529591</v>
      </c>
      <c r="G199" s="8">
        <v>5.2794853049529591</v>
      </c>
    </row>
    <row r="200" spans="1:7" x14ac:dyDescent="0.2">
      <c r="A200">
        <v>193866</v>
      </c>
      <c r="B200">
        <v>18</v>
      </c>
      <c r="C200" t="s">
        <v>5</v>
      </c>
      <c r="D200">
        <v>1</v>
      </c>
      <c r="E200">
        <v>621</v>
      </c>
      <c r="F200" s="1">
        <v>5.3882581519740151</v>
      </c>
      <c r="G200" s="8">
        <v>5.3882581519740151</v>
      </c>
    </row>
    <row r="201" spans="1:7" x14ac:dyDescent="0.2">
      <c r="A201">
        <v>194181</v>
      </c>
      <c r="B201">
        <v>18</v>
      </c>
      <c r="C201" t="s">
        <v>5</v>
      </c>
      <c r="D201">
        <v>2</v>
      </c>
      <c r="E201">
        <v>662</v>
      </c>
      <c r="F201" s="1">
        <v>5.5134868284700413</v>
      </c>
      <c r="G201" s="8">
        <v>5.5134868284700413</v>
      </c>
    </row>
    <row r="202" spans="1:7" x14ac:dyDescent="0.2">
      <c r="A202">
        <v>194576</v>
      </c>
      <c r="B202">
        <v>19</v>
      </c>
      <c r="C202" t="s">
        <v>5</v>
      </c>
      <c r="D202">
        <v>1</v>
      </c>
      <c r="E202">
        <v>600</v>
      </c>
      <c r="F202" s="1">
        <v>4.5686975593134864</v>
      </c>
      <c r="G202" s="8">
        <v>4.5686975593134864</v>
      </c>
    </row>
    <row r="203" spans="1:7" x14ac:dyDescent="0.2">
      <c r="A203">
        <v>206075</v>
      </c>
      <c r="B203">
        <v>21</v>
      </c>
      <c r="C203" t="s">
        <v>5</v>
      </c>
      <c r="D203">
        <v>2</v>
      </c>
      <c r="E203">
        <v>523</v>
      </c>
      <c r="F203" s="1">
        <v>4.374243222541919</v>
      </c>
      <c r="G203" s="8">
        <v>4.374243222541919</v>
      </c>
    </row>
    <row r="204" spans="1:7" x14ac:dyDescent="0.2">
      <c r="A204">
        <v>208911</v>
      </c>
      <c r="B204">
        <v>18</v>
      </c>
      <c r="C204" t="s">
        <v>5</v>
      </c>
      <c r="D204">
        <v>2</v>
      </c>
      <c r="E204">
        <v>600</v>
      </c>
      <c r="F204" s="1">
        <v>4.8622030636661062</v>
      </c>
      <c r="G204" s="8">
        <v>4.8622030636661062</v>
      </c>
    </row>
    <row r="205" spans="1:7" x14ac:dyDescent="0.2">
      <c r="A205">
        <v>219029</v>
      </c>
      <c r="B205">
        <v>18</v>
      </c>
      <c r="C205" t="s">
        <v>5</v>
      </c>
      <c r="D205">
        <v>1</v>
      </c>
      <c r="E205">
        <v>617</v>
      </c>
      <c r="F205" s="1">
        <v>5.3546893487164837</v>
      </c>
      <c r="G205" s="8">
        <v>5.3546893487164837</v>
      </c>
    </row>
    <row r="206" spans="1:7" x14ac:dyDescent="0.2">
      <c r="A206">
        <v>231303</v>
      </c>
      <c r="B206">
        <v>19</v>
      </c>
      <c r="C206" t="s">
        <v>5</v>
      </c>
      <c r="D206">
        <v>2</v>
      </c>
      <c r="E206">
        <v>580</v>
      </c>
      <c r="F206" s="1">
        <v>4.7090256413480809</v>
      </c>
      <c r="G206" s="8">
        <v>4.7090256413480809</v>
      </c>
    </row>
    <row r="207" spans="1:7" x14ac:dyDescent="0.2">
      <c r="A207">
        <v>242198</v>
      </c>
      <c r="B207">
        <v>20</v>
      </c>
      <c r="C207" t="s">
        <v>5</v>
      </c>
      <c r="D207">
        <v>2</v>
      </c>
      <c r="E207">
        <v>493</v>
      </c>
      <c r="F207" s="1">
        <v>4.8576787994688964</v>
      </c>
      <c r="G207" s="8">
        <v>4.8576787994688964</v>
      </c>
    </row>
    <row r="208" spans="1:7" x14ac:dyDescent="0.2">
      <c r="A208">
        <v>246945</v>
      </c>
      <c r="B208">
        <v>19</v>
      </c>
      <c r="C208" t="s">
        <v>5</v>
      </c>
      <c r="D208">
        <v>2</v>
      </c>
      <c r="E208">
        <v>600</v>
      </c>
      <c r="F208" s="1">
        <v>5.4055062631673199</v>
      </c>
      <c r="G208" s="8">
        <v>5.4055062631673199</v>
      </c>
    </row>
    <row r="209" spans="1:7" x14ac:dyDescent="0.2">
      <c r="A209">
        <v>250497</v>
      </c>
      <c r="B209">
        <v>18</v>
      </c>
      <c r="C209" t="s">
        <v>5</v>
      </c>
      <c r="D209">
        <v>2</v>
      </c>
      <c r="E209">
        <v>580</v>
      </c>
      <c r="F209" s="1">
        <v>5.2499360813350879</v>
      </c>
      <c r="G209" s="8">
        <v>5.2499360813350879</v>
      </c>
    </row>
    <row r="210" spans="1:7" x14ac:dyDescent="0.2">
      <c r="A210">
        <v>252395</v>
      </c>
      <c r="B210">
        <v>18</v>
      </c>
      <c r="C210" t="s">
        <v>5</v>
      </c>
      <c r="D210">
        <v>2</v>
      </c>
      <c r="E210">
        <v>642</v>
      </c>
      <c r="F210" s="1">
        <v>5.2560514052361782</v>
      </c>
      <c r="G210" s="8">
        <v>5.2560514052361782</v>
      </c>
    </row>
    <row r="211" spans="1:7" x14ac:dyDescent="0.2">
      <c r="A211">
        <v>252717</v>
      </c>
      <c r="B211">
        <v>18</v>
      </c>
      <c r="C211" t="s">
        <v>5</v>
      </c>
      <c r="D211">
        <v>1</v>
      </c>
      <c r="E211">
        <v>688</v>
      </c>
      <c r="F211" s="1">
        <v>6.0346240226849135</v>
      </c>
      <c r="G211" s="8">
        <v>6.0346240226849135</v>
      </c>
    </row>
    <row r="212" spans="1:7" x14ac:dyDescent="0.2">
      <c r="A212">
        <v>254045</v>
      </c>
      <c r="B212">
        <v>18</v>
      </c>
      <c r="C212" t="s">
        <v>5</v>
      </c>
      <c r="D212">
        <v>1</v>
      </c>
      <c r="E212">
        <v>560</v>
      </c>
      <c r="F212" s="1">
        <v>5.0086126855127144</v>
      </c>
      <c r="G212" s="8">
        <v>5.0086126855127144</v>
      </c>
    </row>
    <row r="213" spans="1:7" x14ac:dyDescent="0.2">
      <c r="A213">
        <v>260738</v>
      </c>
      <c r="B213">
        <v>19</v>
      </c>
      <c r="C213" t="s">
        <v>5</v>
      </c>
      <c r="D213">
        <v>1</v>
      </c>
      <c r="E213">
        <v>547</v>
      </c>
      <c r="F213" s="1">
        <v>4.8336251239738628</v>
      </c>
      <c r="G213" s="8">
        <v>4.8336251239738628</v>
      </c>
    </row>
    <row r="214" spans="1:7" x14ac:dyDescent="0.2">
      <c r="A214">
        <v>293507</v>
      </c>
      <c r="B214">
        <v>19</v>
      </c>
      <c r="C214" t="s">
        <v>5</v>
      </c>
      <c r="D214">
        <v>1</v>
      </c>
      <c r="E214">
        <v>585</v>
      </c>
      <c r="F214" s="1">
        <v>4.6343173029524412</v>
      </c>
      <c r="G214" s="8">
        <v>4.6343173029524412</v>
      </c>
    </row>
    <row r="215" spans="1:7" x14ac:dyDescent="0.2">
      <c r="A215">
        <v>307318</v>
      </c>
      <c r="B215">
        <v>18</v>
      </c>
      <c r="C215" t="s">
        <v>5</v>
      </c>
      <c r="D215">
        <v>2</v>
      </c>
      <c r="E215">
        <v>625</v>
      </c>
      <c r="F215" s="1">
        <v>4.8537582362612488</v>
      </c>
      <c r="G215" s="8">
        <v>4.8537582362612488</v>
      </c>
    </row>
    <row r="216" spans="1:7" x14ac:dyDescent="0.2">
      <c r="A216">
        <v>307731</v>
      </c>
      <c r="B216">
        <v>19</v>
      </c>
      <c r="C216" t="s">
        <v>5</v>
      </c>
      <c r="D216">
        <v>2</v>
      </c>
      <c r="E216">
        <v>620</v>
      </c>
      <c r="F216" s="1">
        <v>5.2933221233309933</v>
      </c>
      <c r="G216" s="8">
        <v>5.2933221233309933</v>
      </c>
    </row>
    <row r="217" spans="1:7" x14ac:dyDescent="0.2">
      <c r="A217">
        <v>310385</v>
      </c>
      <c r="B217">
        <v>19</v>
      </c>
      <c r="C217" t="s">
        <v>5</v>
      </c>
      <c r="D217">
        <v>1</v>
      </c>
      <c r="E217">
        <v>580</v>
      </c>
      <c r="F217" s="1">
        <v>4.9255324023661595</v>
      </c>
      <c r="G217" s="8">
        <v>4.9255324023661595</v>
      </c>
    </row>
    <row r="218" spans="1:7" x14ac:dyDescent="0.2">
      <c r="A218">
        <v>339489</v>
      </c>
      <c r="B218">
        <v>19</v>
      </c>
      <c r="C218" t="s">
        <v>5</v>
      </c>
      <c r="D218">
        <v>1</v>
      </c>
      <c r="E218">
        <v>516</v>
      </c>
      <c r="F218" s="1">
        <v>4.2312676691430635</v>
      </c>
      <c r="G218" s="8">
        <v>4.2312676691430635</v>
      </c>
    </row>
    <row r="219" spans="1:7" x14ac:dyDescent="0.2">
      <c r="A219">
        <v>347529</v>
      </c>
      <c r="B219">
        <v>19</v>
      </c>
      <c r="C219" t="s">
        <v>5</v>
      </c>
      <c r="D219">
        <v>1</v>
      </c>
      <c r="E219">
        <v>598</v>
      </c>
      <c r="F219" s="1">
        <v>4.8148383548943903</v>
      </c>
      <c r="G219" s="8">
        <v>4.8148383548943903</v>
      </c>
    </row>
    <row r="220" spans="1:7" x14ac:dyDescent="0.2">
      <c r="A220">
        <v>354606</v>
      </c>
      <c r="B220">
        <v>19</v>
      </c>
      <c r="C220" t="s">
        <v>5</v>
      </c>
      <c r="D220">
        <v>2</v>
      </c>
      <c r="E220">
        <v>650</v>
      </c>
      <c r="F220" s="1">
        <v>5.4280930548518072</v>
      </c>
      <c r="G220" s="8">
        <v>5.4280930548518072</v>
      </c>
    </row>
    <row r="221" spans="1:7" x14ac:dyDescent="0.2">
      <c r="A221">
        <v>360103</v>
      </c>
      <c r="B221">
        <v>20</v>
      </c>
      <c r="C221" t="s">
        <v>5</v>
      </c>
      <c r="D221">
        <v>2</v>
      </c>
      <c r="E221">
        <v>651</v>
      </c>
      <c r="F221" s="1">
        <v>4.7135334566512395</v>
      </c>
      <c r="G221" s="8">
        <v>4.7135334566512395</v>
      </c>
    </row>
    <row r="222" spans="1:7" x14ac:dyDescent="0.2">
      <c r="A222">
        <v>361020</v>
      </c>
      <c r="B222">
        <v>18</v>
      </c>
      <c r="C222" t="s">
        <v>5</v>
      </c>
      <c r="D222">
        <v>2</v>
      </c>
      <c r="E222">
        <v>632</v>
      </c>
      <c r="F222" s="1">
        <v>5.4642366181693145</v>
      </c>
      <c r="G222" s="8">
        <v>5.4642366181693145</v>
      </c>
    </row>
    <row r="223" spans="1:7" x14ac:dyDescent="0.2">
      <c r="A223">
        <v>364522</v>
      </c>
      <c r="B223">
        <v>18</v>
      </c>
      <c r="C223" t="s">
        <v>5</v>
      </c>
      <c r="D223">
        <v>1</v>
      </c>
      <c r="E223">
        <v>600</v>
      </c>
      <c r="F223" s="1">
        <v>4.7950305133944386</v>
      </c>
      <c r="G223" s="8">
        <v>4.7950305133944386</v>
      </c>
    </row>
    <row r="224" spans="1:7" x14ac:dyDescent="0.2">
      <c r="A224">
        <v>382730</v>
      </c>
      <c r="B224">
        <v>23</v>
      </c>
      <c r="C224" t="s">
        <v>5</v>
      </c>
      <c r="D224">
        <v>2</v>
      </c>
      <c r="E224">
        <v>492</v>
      </c>
      <c r="F224" s="1">
        <v>4.1550603002311419</v>
      </c>
      <c r="G224" s="8">
        <v>4.1550603002311419</v>
      </c>
    </row>
    <row r="225" spans="1:7" x14ac:dyDescent="0.2">
      <c r="A225">
        <v>388699</v>
      </c>
      <c r="B225">
        <v>18</v>
      </c>
      <c r="C225" t="s">
        <v>5</v>
      </c>
      <c r="D225">
        <v>1</v>
      </c>
      <c r="E225">
        <v>600</v>
      </c>
      <c r="F225" s="1">
        <v>5.133179721296333</v>
      </c>
      <c r="G225" s="8">
        <v>5.133179721296333</v>
      </c>
    </row>
    <row r="226" spans="1:7" x14ac:dyDescent="0.2">
      <c r="A226">
        <v>389723</v>
      </c>
      <c r="B226">
        <v>19</v>
      </c>
      <c r="C226" t="s">
        <v>5</v>
      </c>
      <c r="D226">
        <v>2</v>
      </c>
      <c r="E226">
        <v>575</v>
      </c>
      <c r="F226" s="1">
        <v>5.344565696800494</v>
      </c>
      <c r="G226" s="8">
        <v>5.344565696800494</v>
      </c>
    </row>
    <row r="227" spans="1:7" x14ac:dyDescent="0.2">
      <c r="A227">
        <v>392763</v>
      </c>
      <c r="B227">
        <v>20</v>
      </c>
      <c r="C227" t="s">
        <v>5</v>
      </c>
      <c r="D227">
        <v>1</v>
      </c>
      <c r="E227">
        <v>600</v>
      </c>
      <c r="F227" s="1">
        <v>4.7228660478947351</v>
      </c>
      <c r="G227" s="8">
        <v>4.7228660478947351</v>
      </c>
    </row>
    <row r="228" spans="1:7" x14ac:dyDescent="0.2">
      <c r="A228">
        <v>397472</v>
      </c>
      <c r="B228">
        <v>20</v>
      </c>
      <c r="C228" t="s">
        <v>5</v>
      </c>
      <c r="D228">
        <v>2</v>
      </c>
      <c r="E228">
        <v>565</v>
      </c>
      <c r="F228" s="1">
        <v>4.6456887518363565</v>
      </c>
      <c r="G228" s="8">
        <v>4.6456887518363565</v>
      </c>
    </row>
    <row r="229" spans="1:7" x14ac:dyDescent="0.2">
      <c r="A229">
        <v>400667</v>
      </c>
      <c r="B229">
        <v>19</v>
      </c>
      <c r="C229" t="s">
        <v>5</v>
      </c>
      <c r="D229">
        <v>1</v>
      </c>
      <c r="E229">
        <v>620</v>
      </c>
      <c r="F229" s="1">
        <v>4.8317276580400081</v>
      </c>
      <c r="G229" s="8">
        <v>4.8317276580400081</v>
      </c>
    </row>
    <row r="230" spans="1:7" x14ac:dyDescent="0.2">
      <c r="A230">
        <v>407436</v>
      </c>
      <c r="B230">
        <v>19</v>
      </c>
      <c r="C230" t="s">
        <v>5</v>
      </c>
      <c r="D230">
        <v>2</v>
      </c>
      <c r="E230">
        <v>625</v>
      </c>
      <c r="F230" s="1">
        <v>5.3068660806733918</v>
      </c>
      <c r="G230" s="8">
        <v>5.3068660806733918</v>
      </c>
    </row>
    <row r="231" spans="1:7" x14ac:dyDescent="0.2">
      <c r="A231">
        <v>407481</v>
      </c>
      <c r="B231">
        <v>20</v>
      </c>
      <c r="C231" t="s">
        <v>5</v>
      </c>
      <c r="D231">
        <v>2</v>
      </c>
      <c r="E231">
        <v>567</v>
      </c>
      <c r="F231" s="1">
        <v>5.1784929475131491</v>
      </c>
      <c r="G231" s="8">
        <v>5.1784929475131491</v>
      </c>
    </row>
    <row r="232" spans="1:7" x14ac:dyDescent="0.2">
      <c r="A232">
        <v>415172</v>
      </c>
      <c r="B232">
        <v>18</v>
      </c>
      <c r="C232" t="s">
        <v>5</v>
      </c>
      <c r="D232">
        <v>2</v>
      </c>
      <c r="E232">
        <v>632</v>
      </c>
      <c r="F232" s="1">
        <v>5.0952430064468004</v>
      </c>
      <c r="G232" s="8">
        <v>5.0952430064468004</v>
      </c>
    </row>
    <row r="233" spans="1:7" x14ac:dyDescent="0.2">
      <c r="A233">
        <v>426379</v>
      </c>
      <c r="B233">
        <v>22</v>
      </c>
      <c r="C233" t="s">
        <v>5</v>
      </c>
      <c r="D233">
        <v>2</v>
      </c>
      <c r="E233">
        <v>538</v>
      </c>
      <c r="F233" s="1">
        <v>4.9606420861124185</v>
      </c>
      <c r="G233" s="8">
        <v>4.9606420861124185</v>
      </c>
    </row>
    <row r="234" spans="1:7" x14ac:dyDescent="0.2">
      <c r="A234">
        <v>426423</v>
      </c>
      <c r="B234">
        <v>19</v>
      </c>
      <c r="C234" t="s">
        <v>5</v>
      </c>
      <c r="D234">
        <v>2</v>
      </c>
      <c r="E234">
        <v>580</v>
      </c>
      <c r="F234" s="1">
        <v>4.7454951221819357</v>
      </c>
      <c r="G234" s="8">
        <v>4.7454951221819357</v>
      </c>
    </row>
    <row r="235" spans="1:7" x14ac:dyDescent="0.2">
      <c r="A235">
        <v>459903</v>
      </c>
      <c r="B235">
        <v>22</v>
      </c>
      <c r="C235" t="s">
        <v>5</v>
      </c>
      <c r="D235">
        <v>3</v>
      </c>
      <c r="E235">
        <v>530</v>
      </c>
      <c r="F235" s="1">
        <v>4.7141703589726482</v>
      </c>
      <c r="G235" s="8">
        <v>4.7141703589726482</v>
      </c>
    </row>
    <row r="236" spans="1:7" x14ac:dyDescent="0.2">
      <c r="A236">
        <v>471234</v>
      </c>
      <c r="B236">
        <v>23</v>
      </c>
      <c r="C236" t="s">
        <v>5</v>
      </c>
      <c r="D236">
        <v>3</v>
      </c>
      <c r="E236">
        <v>560</v>
      </c>
      <c r="F236" s="1">
        <v>5.0800108888323026</v>
      </c>
      <c r="G236" s="8">
        <v>5.0800108888323026</v>
      </c>
    </row>
    <row r="237" spans="1:7" x14ac:dyDescent="0.2">
      <c r="A237">
        <v>474462</v>
      </c>
      <c r="B237">
        <v>18</v>
      </c>
      <c r="C237" t="s">
        <v>5</v>
      </c>
      <c r="D237">
        <v>2</v>
      </c>
      <c r="E237">
        <v>632</v>
      </c>
      <c r="F237" s="1">
        <v>5.0602280616069493</v>
      </c>
      <c r="G237" s="8">
        <v>5.0602280616069493</v>
      </c>
    </row>
    <row r="238" spans="1:7" x14ac:dyDescent="0.2">
      <c r="A238">
        <v>482100</v>
      </c>
      <c r="B238">
        <v>20</v>
      </c>
      <c r="C238" t="s">
        <v>5</v>
      </c>
      <c r="D238">
        <v>1</v>
      </c>
      <c r="E238">
        <v>610</v>
      </c>
      <c r="F238" s="1">
        <v>5.1620580215222871</v>
      </c>
      <c r="G238" s="8">
        <v>5.1620580215222871</v>
      </c>
    </row>
    <row r="239" spans="1:7" x14ac:dyDescent="0.2">
      <c r="A239">
        <v>490693</v>
      </c>
      <c r="B239">
        <v>21</v>
      </c>
      <c r="C239" t="s">
        <v>5</v>
      </c>
      <c r="D239">
        <v>2</v>
      </c>
      <c r="E239">
        <v>623</v>
      </c>
      <c r="F239" s="1">
        <v>5.1969968012280638</v>
      </c>
      <c r="G239" s="8">
        <v>5.1969968012280638</v>
      </c>
    </row>
    <row r="240" spans="1:7" x14ac:dyDescent="0.2">
      <c r="A240">
        <v>501488</v>
      </c>
      <c r="B240">
        <v>22</v>
      </c>
      <c r="C240" t="s">
        <v>5</v>
      </c>
      <c r="D240">
        <v>2</v>
      </c>
      <c r="E240">
        <v>518</v>
      </c>
      <c r="F240" s="1">
        <v>4.0321546997970801</v>
      </c>
      <c r="G240" s="8">
        <v>4.0321546997970801</v>
      </c>
    </row>
    <row r="241" spans="1:7" x14ac:dyDescent="0.2">
      <c r="A241">
        <v>504045</v>
      </c>
      <c r="B241">
        <v>21</v>
      </c>
      <c r="C241" t="s">
        <v>5</v>
      </c>
      <c r="D241">
        <v>2</v>
      </c>
      <c r="E241">
        <v>621</v>
      </c>
      <c r="F241" s="1">
        <v>5.3811602053765801</v>
      </c>
      <c r="G241" s="8">
        <v>5.3811602053765801</v>
      </c>
    </row>
    <row r="242" spans="1:7" x14ac:dyDescent="0.2">
      <c r="A242">
        <v>504565</v>
      </c>
      <c r="B242">
        <v>45</v>
      </c>
      <c r="C242" t="s">
        <v>5</v>
      </c>
      <c r="D242">
        <v>1</v>
      </c>
      <c r="E242">
        <v>530</v>
      </c>
      <c r="F242" s="1">
        <v>4.435003883068938</v>
      </c>
      <c r="G242" s="8">
        <v>4.435003883068938</v>
      </c>
    </row>
    <row r="243" spans="1:7" x14ac:dyDescent="0.2">
      <c r="A243">
        <v>506010</v>
      </c>
      <c r="B243">
        <v>18</v>
      </c>
      <c r="C243" t="s">
        <v>5</v>
      </c>
      <c r="D243">
        <v>2</v>
      </c>
      <c r="E243">
        <v>640</v>
      </c>
      <c r="F243" s="1">
        <v>4.8492157852398092</v>
      </c>
      <c r="G243" s="8">
        <v>4.8492157852398092</v>
      </c>
    </row>
    <row r="244" spans="1:7" x14ac:dyDescent="0.2">
      <c r="A244">
        <v>506964</v>
      </c>
      <c r="B244">
        <v>19</v>
      </c>
      <c r="C244" t="s">
        <v>5</v>
      </c>
      <c r="D244">
        <v>1</v>
      </c>
      <c r="E244">
        <v>625</v>
      </c>
      <c r="F244" s="1">
        <v>4.9401818767942869</v>
      </c>
      <c r="G244" s="8">
        <v>4.9401818767942869</v>
      </c>
    </row>
    <row r="245" spans="1:7" x14ac:dyDescent="0.2">
      <c r="A245">
        <v>506987</v>
      </c>
      <c r="B245">
        <v>18</v>
      </c>
      <c r="C245" t="s">
        <v>5</v>
      </c>
      <c r="D245">
        <v>2</v>
      </c>
      <c r="E245">
        <v>660</v>
      </c>
      <c r="F245" s="1">
        <v>5.5022364003069031</v>
      </c>
      <c r="G245" s="8">
        <v>5.5022364003069031</v>
      </c>
    </row>
    <row r="246" spans="1:7" x14ac:dyDescent="0.2">
      <c r="A246">
        <v>508845</v>
      </c>
      <c r="B246">
        <v>19</v>
      </c>
      <c r="C246" t="s">
        <v>5</v>
      </c>
      <c r="D246">
        <v>2</v>
      </c>
      <c r="E246">
        <v>556</v>
      </c>
      <c r="F246" s="1"/>
      <c r="G246" s="8"/>
    </row>
    <row r="247" spans="1:7" x14ac:dyDescent="0.2">
      <c r="A247">
        <v>516827</v>
      </c>
      <c r="B247">
        <v>19</v>
      </c>
      <c r="C247" t="s">
        <v>5</v>
      </c>
      <c r="D247">
        <v>1</v>
      </c>
      <c r="E247">
        <v>550</v>
      </c>
      <c r="F247" s="1">
        <v>5.036678551710601</v>
      </c>
      <c r="G247" s="8">
        <v>5.036678551710601</v>
      </c>
    </row>
    <row r="248" spans="1:7" x14ac:dyDescent="0.2">
      <c r="A248">
        <v>523961</v>
      </c>
      <c r="B248">
        <v>24</v>
      </c>
      <c r="C248" t="s">
        <v>5</v>
      </c>
      <c r="D248">
        <v>3</v>
      </c>
      <c r="E248">
        <v>623</v>
      </c>
      <c r="F248" s="1">
        <v>5.0629090213947796</v>
      </c>
      <c r="G248" s="8">
        <v>5.0629090213947796</v>
      </c>
    </row>
    <row r="249" spans="1:7" x14ac:dyDescent="0.2">
      <c r="A249">
        <v>528004</v>
      </c>
      <c r="B249">
        <v>18</v>
      </c>
      <c r="C249" t="s">
        <v>5</v>
      </c>
      <c r="D249">
        <v>1</v>
      </c>
      <c r="E249">
        <v>520</v>
      </c>
      <c r="F249" s="1">
        <v>4.0709901301872851</v>
      </c>
      <c r="G249" s="8">
        <v>4.0709901301872851</v>
      </c>
    </row>
    <row r="250" spans="1:7" x14ac:dyDescent="0.2">
      <c r="A250">
        <v>528593</v>
      </c>
      <c r="B250">
        <v>20</v>
      </c>
      <c r="C250" t="s">
        <v>5</v>
      </c>
      <c r="D250">
        <v>2</v>
      </c>
      <c r="E250">
        <v>597</v>
      </c>
      <c r="F250" s="1">
        <v>5.2670643226065614</v>
      </c>
      <c r="G250" s="8">
        <v>5.2670643226065614</v>
      </c>
    </row>
    <row r="251" spans="1:7" x14ac:dyDescent="0.2">
      <c r="A251">
        <v>529233</v>
      </c>
      <c r="B251">
        <v>20</v>
      </c>
      <c r="C251" t="s">
        <v>5</v>
      </c>
      <c r="D251">
        <v>2</v>
      </c>
      <c r="E251">
        <v>520</v>
      </c>
      <c r="F251" s="1">
        <v>4.8177485626805989</v>
      </c>
      <c r="G251" s="8">
        <v>4.8177485626805989</v>
      </c>
    </row>
    <row r="252" spans="1:7" x14ac:dyDescent="0.2">
      <c r="A252">
        <v>536686</v>
      </c>
      <c r="B252">
        <v>24</v>
      </c>
      <c r="C252" t="s">
        <v>5</v>
      </c>
      <c r="D252">
        <v>2</v>
      </c>
      <c r="E252">
        <v>615</v>
      </c>
      <c r="F252" s="1">
        <v>5.0808654717081003</v>
      </c>
      <c r="G252" s="8">
        <v>5.0808654717081003</v>
      </c>
    </row>
    <row r="253" spans="1:7" x14ac:dyDescent="0.2">
      <c r="A253">
        <v>537554</v>
      </c>
      <c r="B253">
        <v>22</v>
      </c>
      <c r="C253" t="s">
        <v>5</v>
      </c>
      <c r="D253">
        <v>3</v>
      </c>
      <c r="E253">
        <v>580</v>
      </c>
      <c r="F253" s="1">
        <v>4.7037289151288988</v>
      </c>
      <c r="G253" s="8">
        <v>4.7037289151288988</v>
      </c>
    </row>
    <row r="254" spans="1:7" x14ac:dyDescent="0.2">
      <c r="A254">
        <v>541547</v>
      </c>
      <c r="B254">
        <v>18</v>
      </c>
      <c r="C254" t="s">
        <v>5</v>
      </c>
      <c r="D254">
        <v>1</v>
      </c>
      <c r="E254">
        <v>625</v>
      </c>
      <c r="F254" s="1">
        <v>5.2866006604783742</v>
      </c>
      <c r="G254" s="8">
        <v>5.2866006604783742</v>
      </c>
    </row>
    <row r="255" spans="1:7" x14ac:dyDescent="0.2">
      <c r="A255">
        <v>550982</v>
      </c>
      <c r="B255">
        <v>18</v>
      </c>
      <c r="C255" t="s">
        <v>5</v>
      </c>
      <c r="D255">
        <v>1</v>
      </c>
      <c r="E255">
        <v>584</v>
      </c>
      <c r="F255" s="1">
        <v>4.2220671537887684</v>
      </c>
      <c r="G255" s="8">
        <v>4.2220671537887684</v>
      </c>
    </row>
    <row r="256" spans="1:7" x14ac:dyDescent="0.2">
      <c r="A256">
        <v>564387</v>
      </c>
      <c r="B256">
        <v>19</v>
      </c>
      <c r="C256" t="s">
        <v>5</v>
      </c>
      <c r="D256">
        <v>1</v>
      </c>
      <c r="E256">
        <v>630</v>
      </c>
      <c r="F256" s="1">
        <v>5.1372390570727031</v>
      </c>
      <c r="G256" s="8">
        <v>5.1372390570727031</v>
      </c>
    </row>
    <row r="257" spans="1:7" x14ac:dyDescent="0.2">
      <c r="A257">
        <v>569557</v>
      </c>
      <c r="B257">
        <v>18</v>
      </c>
      <c r="C257" t="s">
        <v>5</v>
      </c>
      <c r="D257">
        <v>2</v>
      </c>
      <c r="E257">
        <v>686</v>
      </c>
      <c r="F257" s="1">
        <v>5.5120307081019684</v>
      </c>
      <c r="G257" s="8">
        <v>5.5120307081019684</v>
      </c>
    </row>
    <row r="258" spans="1:7" x14ac:dyDescent="0.2">
      <c r="A258">
        <v>569638</v>
      </c>
      <c r="B258">
        <v>18</v>
      </c>
      <c r="C258" t="s">
        <v>5</v>
      </c>
      <c r="D258">
        <v>2</v>
      </c>
      <c r="E258">
        <v>600</v>
      </c>
      <c r="F258" s="1">
        <v>5.0491450298589475</v>
      </c>
      <c r="G258" s="8">
        <v>5.0491450298589475</v>
      </c>
    </row>
    <row r="259" spans="1:7" x14ac:dyDescent="0.2">
      <c r="A259">
        <v>571737</v>
      </c>
      <c r="B259">
        <v>18</v>
      </c>
      <c r="C259" t="s">
        <v>5</v>
      </c>
      <c r="D259">
        <v>1</v>
      </c>
      <c r="E259">
        <v>615</v>
      </c>
      <c r="F259" s="1">
        <v>5.5521703536960265</v>
      </c>
      <c r="G259" s="8">
        <v>5.5521703536960265</v>
      </c>
    </row>
    <row r="260" spans="1:7" x14ac:dyDescent="0.2">
      <c r="A260">
        <v>578545</v>
      </c>
      <c r="B260">
        <v>18</v>
      </c>
      <c r="C260" t="s">
        <v>5</v>
      </c>
      <c r="D260">
        <v>2</v>
      </c>
      <c r="E260">
        <v>575</v>
      </c>
      <c r="F260" s="1">
        <v>4.671540163189035</v>
      </c>
      <c r="G260" s="8">
        <v>4.671540163189035</v>
      </c>
    </row>
    <row r="261" spans="1:7" x14ac:dyDescent="0.2">
      <c r="A261">
        <v>594881</v>
      </c>
      <c r="B261">
        <v>19</v>
      </c>
      <c r="C261" t="s">
        <v>5</v>
      </c>
      <c r="D261">
        <v>2</v>
      </c>
      <c r="E261">
        <v>611</v>
      </c>
      <c r="F261" s="1">
        <v>5.4610474491253544</v>
      </c>
      <c r="G261" s="8">
        <v>5.4610474491253544</v>
      </c>
    </row>
    <row r="262" spans="1:7" x14ac:dyDescent="0.2">
      <c r="A262">
        <v>595643</v>
      </c>
      <c r="B262">
        <v>20</v>
      </c>
      <c r="C262" t="s">
        <v>5</v>
      </c>
      <c r="D262">
        <v>2</v>
      </c>
      <c r="E262">
        <v>540</v>
      </c>
      <c r="F262" s="1">
        <v>4.5179654527509667</v>
      </c>
      <c r="G262" s="8">
        <v>4.5179654527509667</v>
      </c>
    </row>
    <row r="263" spans="1:7" x14ac:dyDescent="0.2">
      <c r="A263">
        <v>597588</v>
      </c>
      <c r="B263">
        <v>18</v>
      </c>
      <c r="C263" t="s">
        <v>5</v>
      </c>
      <c r="D263">
        <v>1</v>
      </c>
      <c r="E263">
        <v>605</v>
      </c>
      <c r="F263" s="1">
        <v>4.8881481774906614</v>
      </c>
      <c r="G263" s="8">
        <v>4.8881481774906614</v>
      </c>
    </row>
    <row r="264" spans="1:7" x14ac:dyDescent="0.2">
      <c r="A264">
        <v>600609</v>
      </c>
      <c r="B264">
        <v>18</v>
      </c>
      <c r="C264" t="s">
        <v>5</v>
      </c>
      <c r="D264">
        <v>1</v>
      </c>
      <c r="E264">
        <v>630</v>
      </c>
      <c r="F264" s="1">
        <v>5.3150613082849176</v>
      </c>
      <c r="G264" s="8">
        <v>5.3150613082849176</v>
      </c>
    </row>
    <row r="265" spans="1:7" x14ac:dyDescent="0.2">
      <c r="A265">
        <v>601240</v>
      </c>
      <c r="B265">
        <v>20</v>
      </c>
      <c r="C265" t="s">
        <v>5</v>
      </c>
      <c r="D265">
        <v>2</v>
      </c>
      <c r="E265">
        <v>530</v>
      </c>
      <c r="F265" s="1">
        <v>4.1507745975130037</v>
      </c>
      <c r="G265" s="8">
        <v>4.1507745975130037</v>
      </c>
    </row>
    <row r="266" spans="1:7" x14ac:dyDescent="0.2">
      <c r="A266">
        <v>611875</v>
      </c>
      <c r="B266">
        <v>20</v>
      </c>
      <c r="C266" t="s">
        <v>5</v>
      </c>
      <c r="D266">
        <v>2</v>
      </c>
      <c r="E266">
        <v>658</v>
      </c>
      <c r="F266" s="1">
        <v>5.3588536058219285</v>
      </c>
      <c r="G266" s="8">
        <v>5.3588536058219285</v>
      </c>
    </row>
    <row r="267" spans="1:7" x14ac:dyDescent="0.2">
      <c r="A267">
        <v>628064</v>
      </c>
      <c r="B267">
        <v>18</v>
      </c>
      <c r="C267" t="s">
        <v>5</v>
      </c>
      <c r="D267">
        <v>2</v>
      </c>
      <c r="E267">
        <v>585</v>
      </c>
      <c r="F267" s="1">
        <v>4.6049379092269662</v>
      </c>
      <c r="G267" s="8">
        <v>4.6049379092269662</v>
      </c>
    </row>
    <row r="268" spans="1:7" x14ac:dyDescent="0.2">
      <c r="A268">
        <v>631434</v>
      </c>
      <c r="B268">
        <v>19</v>
      </c>
      <c r="C268" t="s">
        <v>5</v>
      </c>
      <c r="D268">
        <v>2</v>
      </c>
      <c r="E268">
        <v>556</v>
      </c>
      <c r="F268" s="1">
        <v>4.8562912239016685</v>
      </c>
      <c r="G268" s="8">
        <v>4.8562912239016685</v>
      </c>
    </row>
    <row r="269" spans="1:7" x14ac:dyDescent="0.2">
      <c r="A269">
        <v>632255</v>
      </c>
      <c r="B269">
        <v>25</v>
      </c>
      <c r="C269" t="s">
        <v>5</v>
      </c>
      <c r="D269">
        <v>1</v>
      </c>
      <c r="E269">
        <v>593</v>
      </c>
      <c r="F269" s="1">
        <v>4.9709560335945024</v>
      </c>
      <c r="G269" s="8">
        <v>4.9709560335945024</v>
      </c>
    </row>
    <row r="270" spans="1:7" x14ac:dyDescent="0.2">
      <c r="A270">
        <v>646173</v>
      </c>
      <c r="B270">
        <v>18</v>
      </c>
      <c r="C270" t="s">
        <v>5</v>
      </c>
      <c r="D270">
        <v>2</v>
      </c>
      <c r="E270">
        <v>600</v>
      </c>
      <c r="F270" s="1">
        <v>5.1808418089854094</v>
      </c>
      <c r="G270" s="8">
        <v>5.1808418089854094</v>
      </c>
    </row>
    <row r="271" spans="1:7" x14ac:dyDescent="0.2">
      <c r="A271">
        <v>652288</v>
      </c>
      <c r="B271">
        <v>18</v>
      </c>
      <c r="C271" t="s">
        <v>5</v>
      </c>
      <c r="D271">
        <v>1</v>
      </c>
      <c r="E271">
        <v>620</v>
      </c>
      <c r="F271" s="1">
        <v>4.9487398284815773</v>
      </c>
      <c r="G271" s="8">
        <v>4.9487398284815773</v>
      </c>
    </row>
    <row r="272" spans="1:7" x14ac:dyDescent="0.2">
      <c r="A272">
        <v>652327</v>
      </c>
      <c r="B272">
        <v>18</v>
      </c>
      <c r="C272" t="s">
        <v>5</v>
      </c>
      <c r="D272">
        <v>2</v>
      </c>
      <c r="E272">
        <v>536</v>
      </c>
      <c r="F272" s="1">
        <v>4.8946565969090603</v>
      </c>
      <c r="G272" s="8">
        <v>4.8946565969090603</v>
      </c>
    </row>
    <row r="273" spans="1:7" x14ac:dyDescent="0.2">
      <c r="A273">
        <v>659232</v>
      </c>
      <c r="B273">
        <v>19</v>
      </c>
      <c r="C273" t="s">
        <v>5</v>
      </c>
      <c r="D273">
        <v>2</v>
      </c>
      <c r="E273">
        <v>630</v>
      </c>
      <c r="F273" s="1">
        <v>5.6689755503665031</v>
      </c>
      <c r="G273" s="8">
        <v>5.6689755503665031</v>
      </c>
    </row>
    <row r="274" spans="1:7" x14ac:dyDescent="0.2">
      <c r="A274">
        <v>661460</v>
      </c>
      <c r="B274">
        <v>20</v>
      </c>
      <c r="C274" t="s">
        <v>5</v>
      </c>
      <c r="D274">
        <v>2</v>
      </c>
      <c r="E274">
        <v>567</v>
      </c>
      <c r="F274" s="1">
        <v>4.7673408542503166</v>
      </c>
      <c r="G274" s="8">
        <v>4.7673408542503166</v>
      </c>
    </row>
    <row r="275" spans="1:7" x14ac:dyDescent="0.2">
      <c r="A275">
        <v>665275</v>
      </c>
      <c r="B275">
        <v>18</v>
      </c>
      <c r="C275" t="s">
        <v>5</v>
      </c>
      <c r="D275">
        <v>2</v>
      </c>
      <c r="E275">
        <v>593</v>
      </c>
      <c r="F275" s="1">
        <v>4.6150140787572376</v>
      </c>
      <c r="G275" s="8">
        <v>4.6150140787572376</v>
      </c>
    </row>
    <row r="276" spans="1:7" x14ac:dyDescent="0.2">
      <c r="A276">
        <v>668269</v>
      </c>
      <c r="B276">
        <v>23</v>
      </c>
      <c r="C276" t="s">
        <v>5</v>
      </c>
      <c r="D276">
        <v>3</v>
      </c>
      <c r="E276">
        <v>690</v>
      </c>
      <c r="F276" s="1">
        <v>5.6728232675512436</v>
      </c>
      <c r="G276" s="8">
        <v>5.6728232675512436</v>
      </c>
    </row>
    <row r="277" spans="1:7" x14ac:dyDescent="0.2">
      <c r="A277">
        <v>676150</v>
      </c>
      <c r="B277">
        <v>19</v>
      </c>
      <c r="C277" t="s">
        <v>5</v>
      </c>
      <c r="D277">
        <v>2</v>
      </c>
      <c r="E277">
        <v>598</v>
      </c>
      <c r="F277" s="1">
        <v>5.1147067756108173</v>
      </c>
      <c r="G277" s="8">
        <v>5.1147067756108173</v>
      </c>
    </row>
    <row r="278" spans="1:7" x14ac:dyDescent="0.2">
      <c r="A278">
        <v>686466</v>
      </c>
      <c r="B278">
        <v>23</v>
      </c>
      <c r="C278" t="s">
        <v>5</v>
      </c>
      <c r="D278">
        <v>1</v>
      </c>
      <c r="E278">
        <v>530</v>
      </c>
      <c r="F278" s="1">
        <v>4.4266540599824022</v>
      </c>
      <c r="G278" s="8">
        <v>4.4266540599824022</v>
      </c>
    </row>
    <row r="279" spans="1:7" x14ac:dyDescent="0.2">
      <c r="A279">
        <v>691535</v>
      </c>
      <c r="B279">
        <v>18</v>
      </c>
      <c r="C279" t="s">
        <v>5</v>
      </c>
      <c r="D279">
        <v>1</v>
      </c>
      <c r="E279">
        <v>600</v>
      </c>
      <c r="F279" s="1">
        <v>4.7992886157113688</v>
      </c>
      <c r="G279" s="8">
        <v>4.7992886157113688</v>
      </c>
    </row>
    <row r="280" spans="1:7" x14ac:dyDescent="0.2">
      <c r="A280">
        <v>692003</v>
      </c>
      <c r="B280">
        <v>20</v>
      </c>
      <c r="C280" t="s">
        <v>5</v>
      </c>
      <c r="D280">
        <v>2</v>
      </c>
      <c r="E280">
        <v>510</v>
      </c>
      <c r="F280" s="1">
        <v>4.5806377434741288</v>
      </c>
      <c r="G280" s="8">
        <v>4.5806377434741288</v>
      </c>
    </row>
    <row r="281" spans="1:7" x14ac:dyDescent="0.2">
      <c r="A281">
        <v>694002</v>
      </c>
      <c r="B281">
        <v>18</v>
      </c>
      <c r="C281" t="s">
        <v>5</v>
      </c>
      <c r="D281">
        <v>2</v>
      </c>
      <c r="E281">
        <v>612</v>
      </c>
      <c r="F281" s="1">
        <v>4.6600839741621565</v>
      </c>
      <c r="G281" s="8">
        <v>4.6600839741621565</v>
      </c>
    </row>
    <row r="282" spans="1:7" x14ac:dyDescent="0.2">
      <c r="A282">
        <v>714322</v>
      </c>
      <c r="B282">
        <v>18</v>
      </c>
      <c r="C282" t="s">
        <v>5</v>
      </c>
      <c r="D282">
        <v>1</v>
      </c>
      <c r="E282">
        <v>657</v>
      </c>
      <c r="F282" s="1">
        <v>5.5556913415561437</v>
      </c>
      <c r="G282" s="8">
        <v>5.5556913415561437</v>
      </c>
    </row>
    <row r="283" spans="1:7" x14ac:dyDescent="0.2">
      <c r="A283">
        <v>728019</v>
      </c>
      <c r="B283">
        <v>19</v>
      </c>
      <c r="C283" t="s">
        <v>5</v>
      </c>
      <c r="D283">
        <v>2</v>
      </c>
      <c r="E283">
        <v>632</v>
      </c>
      <c r="F283" s="1">
        <v>4.8628489472561478</v>
      </c>
      <c r="G283" s="8">
        <v>4.8628489472561478</v>
      </c>
    </row>
    <row r="284" spans="1:7" x14ac:dyDescent="0.2">
      <c r="A284">
        <v>734677</v>
      </c>
      <c r="B284">
        <v>18</v>
      </c>
      <c r="C284" t="s">
        <v>5</v>
      </c>
      <c r="D284">
        <v>2</v>
      </c>
      <c r="E284">
        <v>630</v>
      </c>
      <c r="F284" s="1">
        <v>5.0482627424652655</v>
      </c>
      <c r="G284" s="8">
        <v>5.0482627424652655</v>
      </c>
    </row>
    <row r="285" spans="1:7" x14ac:dyDescent="0.2">
      <c r="A285">
        <v>736902</v>
      </c>
      <c r="B285">
        <v>18</v>
      </c>
      <c r="C285" t="s">
        <v>5</v>
      </c>
      <c r="D285">
        <v>2</v>
      </c>
      <c r="E285">
        <v>620</v>
      </c>
      <c r="F285" s="1">
        <v>5.3171899614383253</v>
      </c>
      <c r="G285" s="8">
        <v>5.3171899614383253</v>
      </c>
    </row>
    <row r="286" spans="1:7" x14ac:dyDescent="0.2">
      <c r="A286">
        <v>748858</v>
      </c>
      <c r="B286">
        <v>25</v>
      </c>
      <c r="C286" t="s">
        <v>5</v>
      </c>
      <c r="D286">
        <v>3</v>
      </c>
      <c r="E286">
        <v>600</v>
      </c>
      <c r="F286" s="1">
        <v>4.8833092977844181</v>
      </c>
      <c r="G286" s="8">
        <v>4.8833092977844181</v>
      </c>
    </row>
    <row r="287" spans="1:7" x14ac:dyDescent="0.2">
      <c r="A287">
        <v>750512</v>
      </c>
      <c r="B287">
        <v>18</v>
      </c>
      <c r="C287" t="s">
        <v>5</v>
      </c>
      <c r="D287">
        <v>1</v>
      </c>
      <c r="E287">
        <v>573</v>
      </c>
      <c r="F287" s="1">
        <v>4.8324880695845565</v>
      </c>
      <c r="G287" s="8">
        <v>4.8324880695845565</v>
      </c>
    </row>
    <row r="288" spans="1:7" x14ac:dyDescent="0.2">
      <c r="A288">
        <v>751282</v>
      </c>
      <c r="B288">
        <v>20</v>
      </c>
      <c r="C288" t="s">
        <v>5</v>
      </c>
      <c r="D288">
        <v>2</v>
      </c>
      <c r="E288">
        <v>626</v>
      </c>
      <c r="F288" s="1">
        <v>4.9583979453041014</v>
      </c>
      <c r="G288" s="8">
        <v>4.9583979453041014</v>
      </c>
    </row>
    <row r="289" spans="1:7" x14ac:dyDescent="0.2">
      <c r="A289">
        <v>753860</v>
      </c>
      <c r="B289">
        <v>18</v>
      </c>
      <c r="C289" t="s">
        <v>5</v>
      </c>
      <c r="D289">
        <v>2</v>
      </c>
      <c r="E289">
        <v>580</v>
      </c>
      <c r="F289" s="1">
        <v>4.7922676614453978</v>
      </c>
      <c r="G289" s="8">
        <v>4.7922676614453978</v>
      </c>
    </row>
    <row r="290" spans="1:7" x14ac:dyDescent="0.2">
      <c r="A290">
        <v>755675</v>
      </c>
      <c r="B290">
        <v>18</v>
      </c>
      <c r="C290" t="s">
        <v>5</v>
      </c>
      <c r="D290">
        <v>2</v>
      </c>
      <c r="E290">
        <v>557</v>
      </c>
      <c r="F290" s="1"/>
      <c r="G290" s="8"/>
    </row>
    <row r="291" spans="1:7" x14ac:dyDescent="0.2">
      <c r="A291">
        <v>762226</v>
      </c>
      <c r="B291">
        <v>18</v>
      </c>
      <c r="C291" t="s">
        <v>5</v>
      </c>
      <c r="D291">
        <v>2</v>
      </c>
      <c r="E291">
        <v>623</v>
      </c>
      <c r="F291" s="1">
        <v>5.1488159922419161</v>
      </c>
      <c r="G291" s="8">
        <v>5.1488159922419161</v>
      </c>
    </row>
    <row r="292" spans="1:7" x14ac:dyDescent="0.2">
      <c r="A292">
        <v>763479</v>
      </c>
      <c r="B292">
        <v>18</v>
      </c>
      <c r="C292" t="s">
        <v>5</v>
      </c>
      <c r="D292">
        <v>2</v>
      </c>
      <c r="E292">
        <v>590</v>
      </c>
      <c r="F292" s="1">
        <v>4.7937917133533219</v>
      </c>
      <c r="G292" s="8">
        <v>4.7937917133533219</v>
      </c>
    </row>
    <row r="293" spans="1:7" x14ac:dyDescent="0.2">
      <c r="A293">
        <v>768297</v>
      </c>
      <c r="B293">
        <v>19</v>
      </c>
      <c r="C293" t="s">
        <v>5</v>
      </c>
      <c r="D293">
        <v>2</v>
      </c>
      <c r="E293">
        <v>515</v>
      </c>
      <c r="F293" s="1">
        <v>4.3234852580956398</v>
      </c>
      <c r="G293" s="8">
        <v>4.3234852580956398</v>
      </c>
    </row>
    <row r="294" spans="1:7" x14ac:dyDescent="0.2">
      <c r="A294">
        <v>778511</v>
      </c>
      <c r="B294">
        <v>17</v>
      </c>
      <c r="C294" t="s">
        <v>5</v>
      </c>
      <c r="D294">
        <v>2</v>
      </c>
      <c r="E294">
        <v>620</v>
      </c>
      <c r="F294" s="1">
        <v>4.768312750665233</v>
      </c>
      <c r="G294" s="8">
        <v>4.768312750665233</v>
      </c>
    </row>
    <row r="295" spans="1:7" x14ac:dyDescent="0.2">
      <c r="A295">
        <v>786047</v>
      </c>
      <c r="B295">
        <v>19</v>
      </c>
      <c r="C295" t="s">
        <v>5</v>
      </c>
      <c r="D295">
        <v>1</v>
      </c>
      <c r="E295">
        <v>600</v>
      </c>
      <c r="F295" s="1">
        <v>4.8336613440235476</v>
      </c>
      <c r="G295" s="8">
        <v>4.8336613440235476</v>
      </c>
    </row>
    <row r="296" spans="1:7" x14ac:dyDescent="0.2">
      <c r="A296">
        <v>788615</v>
      </c>
      <c r="B296">
        <v>18</v>
      </c>
      <c r="C296" t="s">
        <v>5</v>
      </c>
      <c r="D296">
        <v>1</v>
      </c>
      <c r="E296">
        <v>570</v>
      </c>
      <c r="F296" s="1">
        <v>4.8123575348107206</v>
      </c>
      <c r="G296" s="8">
        <v>4.8123575348107206</v>
      </c>
    </row>
    <row r="297" spans="1:7" x14ac:dyDescent="0.2">
      <c r="A297">
        <v>799963</v>
      </c>
      <c r="B297">
        <v>18</v>
      </c>
      <c r="C297" t="s">
        <v>5</v>
      </c>
      <c r="D297">
        <v>1</v>
      </c>
      <c r="E297">
        <v>653</v>
      </c>
      <c r="F297" s="1">
        <v>5.4132126738333977</v>
      </c>
      <c r="G297" s="8">
        <v>5.4132126738333977</v>
      </c>
    </row>
    <row r="298" spans="1:7" x14ac:dyDescent="0.2">
      <c r="A298">
        <v>808031</v>
      </c>
      <c r="B298">
        <v>19</v>
      </c>
      <c r="C298" t="s">
        <v>5</v>
      </c>
      <c r="D298">
        <v>2</v>
      </c>
      <c r="E298">
        <v>555</v>
      </c>
      <c r="F298" s="1">
        <v>4.4384172314101491</v>
      </c>
      <c r="G298" s="8">
        <v>4.4384172314101491</v>
      </c>
    </row>
    <row r="299" spans="1:7" x14ac:dyDescent="0.2">
      <c r="A299">
        <v>821897</v>
      </c>
      <c r="B299">
        <v>27</v>
      </c>
      <c r="C299" t="s">
        <v>5</v>
      </c>
      <c r="D299">
        <v>2</v>
      </c>
      <c r="E299">
        <v>565</v>
      </c>
      <c r="F299" s="1">
        <v>4.8929203173776816</v>
      </c>
      <c r="G299" s="8">
        <v>4.8929203173776816</v>
      </c>
    </row>
    <row r="300" spans="1:7" x14ac:dyDescent="0.2">
      <c r="A300">
        <v>826477</v>
      </c>
      <c r="B300">
        <v>19</v>
      </c>
      <c r="C300" t="s">
        <v>5</v>
      </c>
      <c r="D300">
        <v>1</v>
      </c>
      <c r="E300">
        <v>672</v>
      </c>
      <c r="F300" s="1">
        <v>5.1747331977014657</v>
      </c>
      <c r="G300" s="8">
        <v>5.1747331977014657</v>
      </c>
    </row>
    <row r="301" spans="1:7" x14ac:dyDescent="0.2">
      <c r="A301">
        <v>835463</v>
      </c>
      <c r="B301">
        <v>18</v>
      </c>
      <c r="C301" t="s">
        <v>5</v>
      </c>
      <c r="D301">
        <v>2</v>
      </c>
      <c r="E301">
        <v>575</v>
      </c>
      <c r="F301" s="1">
        <v>4.9734282177028062</v>
      </c>
      <c r="G301" s="8">
        <v>4.9734282177028062</v>
      </c>
    </row>
    <row r="302" spans="1:7" x14ac:dyDescent="0.2">
      <c r="A302">
        <v>845222</v>
      </c>
      <c r="B302">
        <v>19</v>
      </c>
      <c r="C302" t="s">
        <v>5</v>
      </c>
      <c r="D302">
        <v>1</v>
      </c>
      <c r="E302">
        <v>637</v>
      </c>
      <c r="F302" s="1">
        <v>5.4694394671081827</v>
      </c>
      <c r="G302" s="8">
        <v>5.4694394671081827</v>
      </c>
    </row>
    <row r="303" spans="1:7" x14ac:dyDescent="0.2">
      <c r="A303">
        <v>849752</v>
      </c>
      <c r="B303">
        <v>18</v>
      </c>
      <c r="C303" t="s">
        <v>5</v>
      </c>
      <c r="D303">
        <v>2</v>
      </c>
      <c r="E303">
        <v>595</v>
      </c>
      <c r="F303" s="1">
        <v>4.9729548297531565</v>
      </c>
      <c r="G303" s="8">
        <v>4.9729548297531565</v>
      </c>
    </row>
    <row r="304" spans="1:7" x14ac:dyDescent="0.2">
      <c r="A304">
        <v>856886</v>
      </c>
      <c r="B304">
        <v>18</v>
      </c>
      <c r="C304" t="s">
        <v>5</v>
      </c>
      <c r="D304">
        <v>1</v>
      </c>
      <c r="E304">
        <v>641</v>
      </c>
      <c r="F304" s="1">
        <v>6.0793929398197335</v>
      </c>
      <c r="G304" s="8">
        <v>6.0793929398197335</v>
      </c>
    </row>
    <row r="305" spans="1:7" x14ac:dyDescent="0.2">
      <c r="A305">
        <v>858611</v>
      </c>
      <c r="B305">
        <v>24</v>
      </c>
      <c r="C305" t="s">
        <v>5</v>
      </c>
      <c r="D305">
        <v>2</v>
      </c>
      <c r="E305">
        <v>530</v>
      </c>
      <c r="F305" s="1">
        <v>4.612981504154309</v>
      </c>
      <c r="G305" s="8">
        <v>4.612981504154309</v>
      </c>
    </row>
    <row r="306" spans="1:7" x14ac:dyDescent="0.2">
      <c r="A306">
        <v>865627</v>
      </c>
      <c r="B306">
        <v>18</v>
      </c>
      <c r="C306" t="s">
        <v>5</v>
      </c>
      <c r="D306">
        <v>1</v>
      </c>
      <c r="E306">
        <v>683</v>
      </c>
      <c r="F306" s="1">
        <v>5.9781151612713561</v>
      </c>
      <c r="G306" s="8">
        <v>5.9781151612713561</v>
      </c>
    </row>
    <row r="307" spans="1:7" x14ac:dyDescent="0.2">
      <c r="A307">
        <v>871370</v>
      </c>
      <c r="B307">
        <v>20</v>
      </c>
      <c r="C307" t="s">
        <v>5</v>
      </c>
      <c r="D307">
        <v>2</v>
      </c>
      <c r="E307">
        <v>580</v>
      </c>
      <c r="F307" s="1">
        <v>5.2578769334998938</v>
      </c>
      <c r="G307" s="8">
        <v>5.2578769334998938</v>
      </c>
    </row>
    <row r="308" spans="1:7" x14ac:dyDescent="0.2">
      <c r="A308">
        <v>872159</v>
      </c>
      <c r="B308">
        <v>18</v>
      </c>
      <c r="C308" t="s">
        <v>5</v>
      </c>
      <c r="D308">
        <v>1</v>
      </c>
      <c r="E308">
        <v>605</v>
      </c>
      <c r="F308" s="1"/>
      <c r="G308" s="8"/>
    </row>
    <row r="309" spans="1:7" x14ac:dyDescent="0.2">
      <c r="A309">
        <v>877922</v>
      </c>
      <c r="B309">
        <v>19</v>
      </c>
      <c r="C309" t="s">
        <v>5</v>
      </c>
      <c r="D309">
        <v>2</v>
      </c>
      <c r="E309">
        <v>643</v>
      </c>
      <c r="F309" s="1">
        <v>5.0569905097065417</v>
      </c>
      <c r="G309" s="8">
        <v>5.0569905097065417</v>
      </c>
    </row>
    <row r="310" spans="1:7" x14ac:dyDescent="0.2">
      <c r="A310">
        <v>880358</v>
      </c>
      <c r="B310">
        <v>19</v>
      </c>
      <c r="C310" t="s">
        <v>5</v>
      </c>
      <c r="D310">
        <v>2</v>
      </c>
      <c r="E310">
        <v>593</v>
      </c>
      <c r="F310" s="1">
        <v>5.1471152426146585</v>
      </c>
      <c r="G310" s="8">
        <v>5.1471152426146585</v>
      </c>
    </row>
    <row r="311" spans="1:7" x14ac:dyDescent="0.2">
      <c r="A311">
        <v>886455</v>
      </c>
      <c r="B311">
        <v>18</v>
      </c>
      <c r="C311" t="s">
        <v>5</v>
      </c>
      <c r="D311">
        <v>2</v>
      </c>
      <c r="E311">
        <v>502</v>
      </c>
      <c r="F311" s="1">
        <v>4.2631531036947079</v>
      </c>
      <c r="G311" s="8">
        <v>4.2631531036947079</v>
      </c>
    </row>
    <row r="312" spans="1:7" x14ac:dyDescent="0.2">
      <c r="A312">
        <v>886853</v>
      </c>
      <c r="B312">
        <v>18</v>
      </c>
      <c r="C312" t="s">
        <v>5</v>
      </c>
      <c r="D312">
        <v>2</v>
      </c>
      <c r="E312">
        <v>657</v>
      </c>
      <c r="F312" s="1">
        <v>5.5369174610497494</v>
      </c>
      <c r="G312" s="8">
        <v>5.5369174610497494</v>
      </c>
    </row>
    <row r="313" spans="1:7" x14ac:dyDescent="0.2">
      <c r="A313">
        <v>887976</v>
      </c>
      <c r="B313">
        <v>20</v>
      </c>
      <c r="C313" t="s">
        <v>5</v>
      </c>
      <c r="D313">
        <v>2</v>
      </c>
      <c r="E313">
        <v>542</v>
      </c>
      <c r="F313" s="1">
        <v>4.2980039709600097</v>
      </c>
      <c r="G313" s="8">
        <v>4.2980039709600097</v>
      </c>
    </row>
    <row r="314" spans="1:7" x14ac:dyDescent="0.2">
      <c r="A314">
        <v>893143</v>
      </c>
      <c r="B314">
        <v>19</v>
      </c>
      <c r="C314" t="s">
        <v>5</v>
      </c>
      <c r="D314">
        <v>2</v>
      </c>
      <c r="E314">
        <v>578</v>
      </c>
      <c r="F314" s="1">
        <v>4.3257073246365563</v>
      </c>
      <c r="G314" s="8">
        <v>4.3257073246365563</v>
      </c>
    </row>
    <row r="315" spans="1:7" x14ac:dyDescent="0.2">
      <c r="A315">
        <v>904589</v>
      </c>
      <c r="B315">
        <v>19</v>
      </c>
      <c r="C315" t="s">
        <v>5</v>
      </c>
      <c r="D315">
        <v>2</v>
      </c>
      <c r="E315">
        <v>650</v>
      </c>
      <c r="F315" s="1">
        <v>5.0969278932949154</v>
      </c>
      <c r="G315" s="8">
        <v>5.0969278932949154</v>
      </c>
    </row>
    <row r="316" spans="1:7" x14ac:dyDescent="0.2">
      <c r="A316">
        <v>906184</v>
      </c>
      <c r="B316">
        <v>18</v>
      </c>
      <c r="C316" t="s">
        <v>5</v>
      </c>
      <c r="D316">
        <v>2</v>
      </c>
      <c r="E316">
        <v>505</v>
      </c>
      <c r="F316" s="1">
        <v>4.6394789959391183</v>
      </c>
      <c r="G316" s="8">
        <v>4.6394789959391183</v>
      </c>
    </row>
    <row r="317" spans="1:7" x14ac:dyDescent="0.2">
      <c r="A317">
        <v>907254</v>
      </c>
      <c r="B317">
        <v>19</v>
      </c>
      <c r="C317" t="s">
        <v>5</v>
      </c>
      <c r="D317">
        <v>2</v>
      </c>
      <c r="E317">
        <v>620</v>
      </c>
      <c r="F317" s="1">
        <v>5.2711342148085079</v>
      </c>
      <c r="G317" s="8">
        <v>5.2711342148085079</v>
      </c>
    </row>
    <row r="318" spans="1:7" x14ac:dyDescent="0.2">
      <c r="A318">
        <v>910906</v>
      </c>
      <c r="B318">
        <v>18</v>
      </c>
      <c r="C318" t="s">
        <v>5</v>
      </c>
      <c r="D318">
        <v>2</v>
      </c>
      <c r="E318">
        <v>635</v>
      </c>
      <c r="F318" s="1">
        <v>5.0599107420093015</v>
      </c>
      <c r="G318" s="8">
        <v>5.0599107420093015</v>
      </c>
    </row>
    <row r="319" spans="1:7" x14ac:dyDescent="0.2">
      <c r="A319">
        <v>911761</v>
      </c>
      <c r="B319">
        <v>23</v>
      </c>
      <c r="C319" t="s">
        <v>5</v>
      </c>
      <c r="D319">
        <v>3</v>
      </c>
      <c r="E319">
        <v>602</v>
      </c>
      <c r="F319" s="1">
        <v>5.3279368853776869</v>
      </c>
      <c r="G319" s="8">
        <v>5.3279368853776869</v>
      </c>
    </row>
    <row r="320" spans="1:7" x14ac:dyDescent="0.2">
      <c r="A320">
        <v>917031</v>
      </c>
      <c r="B320">
        <v>19</v>
      </c>
      <c r="C320" t="s">
        <v>5</v>
      </c>
      <c r="D320">
        <v>2</v>
      </c>
      <c r="E320">
        <v>580</v>
      </c>
      <c r="F320" s="1">
        <v>4.8488153887139873</v>
      </c>
      <c r="G320" s="8">
        <v>4.8488153887139873</v>
      </c>
    </row>
    <row r="321" spans="1:7" x14ac:dyDescent="0.2">
      <c r="A321">
        <v>921772</v>
      </c>
      <c r="B321">
        <v>19</v>
      </c>
      <c r="C321" t="s">
        <v>5</v>
      </c>
      <c r="D321">
        <v>2</v>
      </c>
      <c r="E321">
        <v>608</v>
      </c>
      <c r="F321" s="1">
        <v>4.8462496795565713</v>
      </c>
      <c r="G321" s="8">
        <v>4.8462496795565713</v>
      </c>
    </row>
    <row r="322" spans="1:7" x14ac:dyDescent="0.2">
      <c r="A322">
        <v>922115</v>
      </c>
      <c r="B322">
        <v>20</v>
      </c>
      <c r="C322" t="s">
        <v>5</v>
      </c>
      <c r="D322">
        <v>2</v>
      </c>
      <c r="E322">
        <v>570</v>
      </c>
      <c r="F322" s="1">
        <v>4.9507139360655668</v>
      </c>
      <c r="G322" s="8">
        <v>4.9507139360655668</v>
      </c>
    </row>
    <row r="323" spans="1:7" x14ac:dyDescent="0.2">
      <c r="A323">
        <v>923468</v>
      </c>
      <c r="B323">
        <v>19</v>
      </c>
      <c r="C323" t="s">
        <v>5</v>
      </c>
      <c r="D323">
        <v>2</v>
      </c>
      <c r="E323">
        <v>597</v>
      </c>
      <c r="F323" s="1">
        <v>5.1274743307852653</v>
      </c>
      <c r="G323" s="8">
        <v>5.1274743307852653</v>
      </c>
    </row>
    <row r="324" spans="1:7" x14ac:dyDescent="0.2">
      <c r="A324">
        <v>951790</v>
      </c>
      <c r="B324">
        <v>19</v>
      </c>
      <c r="C324" t="s">
        <v>5</v>
      </c>
      <c r="D324">
        <v>2</v>
      </c>
      <c r="E324">
        <v>535</v>
      </c>
      <c r="F324" s="1">
        <v>4.9339504344429326</v>
      </c>
      <c r="G324" s="8">
        <v>4.9339504344429326</v>
      </c>
    </row>
    <row r="325" spans="1:7" x14ac:dyDescent="0.2">
      <c r="A325">
        <v>963783</v>
      </c>
      <c r="B325">
        <v>23</v>
      </c>
      <c r="C325" t="s">
        <v>5</v>
      </c>
      <c r="D325">
        <v>2</v>
      </c>
      <c r="E325">
        <v>520</v>
      </c>
      <c r="F325" s="1">
        <v>4.4862268860481755</v>
      </c>
      <c r="G325" s="8">
        <v>4.4862268860481755</v>
      </c>
    </row>
    <row r="326" spans="1:7" x14ac:dyDescent="0.2">
      <c r="A326">
        <v>971705</v>
      </c>
      <c r="B326">
        <v>20</v>
      </c>
      <c r="C326" t="s">
        <v>5</v>
      </c>
      <c r="D326">
        <v>2</v>
      </c>
      <c r="E326">
        <v>545</v>
      </c>
      <c r="F326" s="1">
        <v>4.2668696364966481</v>
      </c>
      <c r="G326" s="8">
        <v>4.2668696364966481</v>
      </c>
    </row>
    <row r="327" spans="1:7" x14ac:dyDescent="0.2">
      <c r="A327">
        <v>974884</v>
      </c>
      <c r="B327">
        <v>19</v>
      </c>
      <c r="C327" t="s">
        <v>5</v>
      </c>
      <c r="D327">
        <v>2</v>
      </c>
      <c r="E327">
        <v>600</v>
      </c>
      <c r="F327" s="1">
        <v>5.360763487672024</v>
      </c>
      <c r="G327" s="8">
        <v>5.360763487672024</v>
      </c>
    </row>
    <row r="328" spans="1:7" x14ac:dyDescent="0.2">
      <c r="A328">
        <v>992104</v>
      </c>
      <c r="B328">
        <v>20</v>
      </c>
      <c r="C328" t="s">
        <v>5</v>
      </c>
      <c r="D328">
        <v>2</v>
      </c>
      <c r="E328">
        <v>540</v>
      </c>
      <c r="F328" s="1">
        <v>4.4720764173146677</v>
      </c>
      <c r="G328" s="8">
        <v>4.4720764173146677</v>
      </c>
    </row>
    <row r="329" spans="1:7" x14ac:dyDescent="0.2">
      <c r="A329">
        <v>999424</v>
      </c>
      <c r="B329">
        <v>18</v>
      </c>
      <c r="C329" t="s">
        <v>5</v>
      </c>
      <c r="D329">
        <v>2</v>
      </c>
      <c r="E329">
        <v>615</v>
      </c>
      <c r="F329" s="1">
        <v>4.983875033919313</v>
      </c>
      <c r="G329" s="8">
        <v>4.983875033919313</v>
      </c>
    </row>
    <row r="330" spans="1:7" x14ac:dyDescent="0.2">
      <c r="A330">
        <v>1000781</v>
      </c>
      <c r="B330">
        <v>18</v>
      </c>
      <c r="C330" t="s">
        <v>5</v>
      </c>
      <c r="D330">
        <v>2</v>
      </c>
      <c r="E330">
        <v>635</v>
      </c>
      <c r="F330" s="1">
        <v>4.6887397392818837</v>
      </c>
      <c r="G330" s="8">
        <v>4.6887397392818837</v>
      </c>
    </row>
    <row r="331" spans="1:7" x14ac:dyDescent="0.2">
      <c r="A331">
        <v>1012857</v>
      </c>
      <c r="B331">
        <v>19</v>
      </c>
      <c r="C331" t="s">
        <v>5</v>
      </c>
      <c r="D331">
        <v>2</v>
      </c>
      <c r="E331">
        <v>638</v>
      </c>
      <c r="F331" s="1">
        <v>5.1471647704935828</v>
      </c>
      <c r="G331" s="8">
        <v>5.1471647704935828</v>
      </c>
    </row>
    <row r="332" spans="1:7" x14ac:dyDescent="0.2">
      <c r="A332">
        <v>1016678</v>
      </c>
      <c r="B332">
        <v>18</v>
      </c>
      <c r="C332" t="s">
        <v>5</v>
      </c>
      <c r="D332">
        <v>2</v>
      </c>
      <c r="E332">
        <v>625</v>
      </c>
      <c r="F332" s="1"/>
      <c r="G332" s="8"/>
    </row>
  </sheetData>
  <dataConsolidate/>
  <conditionalFormatting sqref="A349:A1048576 A1:A332">
    <cfRule type="duplicateValues" dxfId="8" priority="15"/>
  </conditionalFormatting>
  <conditionalFormatting sqref="E1:E104857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{BCFC6626-473C-BC43-8733-63AB470A8C1D}</x14:id>
        </ext>
      </extLst>
    </cfRule>
  </conditionalFormatting>
  <conditionalFormatting sqref="F1:F1048576">
    <cfRule type="top10" dxfId="7" priority="13" percent="1" rank="10"/>
  </conditionalFormatting>
  <conditionalFormatting sqref="D1:D1048576">
    <cfRule type="cellIs" dxfId="6" priority="12" operator="equal">
      <formula>2</formula>
    </cfRule>
  </conditionalFormatting>
  <conditionalFormatting sqref="G1:G1048576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6">
      <colorScale>
        <cfvo type="num" val="1"/>
        <cfvo type="num" val="4"/>
        <cfvo type="num" val="7"/>
        <color rgb="FFFF0000"/>
        <color rgb="FFFFEB84"/>
        <color theme="0"/>
      </colorScale>
    </cfRule>
  </conditionalFormatting>
  <conditionalFormatting sqref="L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{BB80E309-D6AC-5E44-8B0F-ED547832400A}</x14:id>
        </ext>
      </extLst>
    </cfRule>
  </conditionalFormatting>
  <conditionalFormatting sqref="M2">
    <cfRule type="top10" dxfId="1" priority="4" percent="1" rank="10"/>
  </conditionalFormatting>
  <conditionalFormatting sqref="K2">
    <cfRule type="cellIs" dxfId="0" priority="3" operator="equal">
      <formula>2</formula>
    </cfRule>
  </conditionalFormatting>
  <conditionalFormatting sqref="N2">
    <cfRule type="colorScale" priority="1">
      <colorScale>
        <cfvo type="num" val="1"/>
        <cfvo type="num" val="4"/>
        <cfvo type="num" val="7"/>
        <color rgb="FFFF0000"/>
        <color rgb="FFFFEB84"/>
        <color theme="0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FC6626-473C-BC43-8733-63AB470A8C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BB80E309-D6AC-5E44-8B0F-ED54783240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7FA74-0DE0-324E-8336-D1433A6D7241}">
  <dimension ref="A1:H8"/>
  <sheetViews>
    <sheetView zoomScale="140" zoomScaleNormal="140" workbookViewId="0">
      <selection activeCell="F8" sqref="F8"/>
    </sheetView>
  </sheetViews>
  <sheetFormatPr baseColWidth="10" defaultRowHeight="16" x14ac:dyDescent="0.2"/>
  <sheetData>
    <row r="1" spans="1:8" x14ac:dyDescent="0.2">
      <c r="B1" t="s">
        <v>19</v>
      </c>
      <c r="C1" t="s">
        <v>16</v>
      </c>
      <c r="D1" t="s">
        <v>22</v>
      </c>
      <c r="E1" t="s">
        <v>23</v>
      </c>
      <c r="G1" t="s">
        <v>20</v>
      </c>
      <c r="H1" t="s">
        <v>21</v>
      </c>
    </row>
    <row r="2" spans="1:8" x14ac:dyDescent="0.2">
      <c r="B2">
        <v>80</v>
      </c>
      <c r="C2">
        <v>5</v>
      </c>
      <c r="D2">
        <v>5</v>
      </c>
      <c r="E2">
        <v>5</v>
      </c>
      <c r="G2">
        <f>INTERCEPT(C2:C6,B2:B6)</f>
        <v>-3.6999999999999993</v>
      </c>
      <c r="H2">
        <f>SLOPE(C2:C6,B2:B6)</f>
        <v>0.12</v>
      </c>
    </row>
    <row r="3" spans="1:8" x14ac:dyDescent="0.2">
      <c r="B3">
        <v>90</v>
      </c>
      <c r="C3">
        <v>7</v>
      </c>
      <c r="D3">
        <v>7</v>
      </c>
      <c r="E3">
        <v>7</v>
      </c>
    </row>
    <row r="4" spans="1:8" x14ac:dyDescent="0.2">
      <c r="B4">
        <v>100</v>
      </c>
      <c r="D4">
        <f>AVERAGE(D2:D3,D5:D6)</f>
        <v>6.5</v>
      </c>
      <c r="E4">
        <f>G2+B4*H2</f>
        <v>8.3000000000000007</v>
      </c>
    </row>
    <row r="5" spans="1:8" x14ac:dyDescent="0.2">
      <c r="B5">
        <v>75</v>
      </c>
      <c r="C5">
        <v>6</v>
      </c>
      <c r="D5">
        <v>6</v>
      </c>
      <c r="E5">
        <v>6</v>
      </c>
    </row>
    <row r="6" spans="1:8" x14ac:dyDescent="0.2">
      <c r="B6">
        <v>95</v>
      </c>
      <c r="C6">
        <v>8</v>
      </c>
      <c r="D6">
        <v>8</v>
      </c>
      <c r="E6">
        <v>8</v>
      </c>
    </row>
    <row r="7" spans="1:8" x14ac:dyDescent="0.2">
      <c r="A7" t="s">
        <v>17</v>
      </c>
      <c r="B7">
        <f>AVERAGE(B2:B6)</f>
        <v>88</v>
      </c>
      <c r="C7">
        <f>AVERAGE(C2:C6)</f>
        <v>6.5</v>
      </c>
      <c r="D7" s="6">
        <f>AVERAGE(D2:D6)</f>
        <v>6.5</v>
      </c>
      <c r="E7" s="6">
        <f>AVERAGE(E2:E6)</f>
        <v>6.8599999999999994</v>
      </c>
    </row>
    <row r="8" spans="1:8" x14ac:dyDescent="0.2">
      <c r="A8" t="s">
        <v>18</v>
      </c>
      <c r="B8">
        <f>_xlfn.VAR.S(B2:B6)</f>
        <v>107.5</v>
      </c>
      <c r="C8">
        <f>_xlfn.VAR.S(C2:C6)</f>
        <v>1.6666666666666667</v>
      </c>
      <c r="D8">
        <f>_xlfn.VAR.S(D2:D6)</f>
        <v>1.25</v>
      </c>
      <c r="E8">
        <f>_xlfn.VAR.S(E2:E6)</f>
        <v>1.8980000000000175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Alejandro Saavedra Morales</cp:lastModifiedBy>
  <dcterms:created xsi:type="dcterms:W3CDTF">2025-05-13T01:57:50Z</dcterms:created>
  <dcterms:modified xsi:type="dcterms:W3CDTF">2026-05-11T22:42:43Z</dcterms:modified>
</cp:coreProperties>
</file>